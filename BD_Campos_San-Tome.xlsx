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_Trabajo\67_C2Core\Campos en Venezuela\"/>
    </mc:Choice>
  </mc:AlternateContent>
  <xr:revisionPtr revIDLastSave="0" documentId="13_ncr:1_{B7EB5E2C-3440-4E1A-BBB2-0A471ADF5B20}" xr6:coauthVersionLast="47" xr6:coauthVersionMax="47" xr10:uidLastSave="{00000000-0000-0000-0000-000000000000}"/>
  <bookViews>
    <workbookView xWindow="-120" yWindow="-16320" windowWidth="29040" windowHeight="15720" xr2:uid="{47409951-5E1C-40F1-8E42-371430AF2315}"/>
  </bookViews>
  <sheets>
    <sheet name="BD" sheetId="1" r:id="rId1"/>
    <sheet name="Hoja1" sheetId="2" r:id="rId2"/>
  </sheets>
  <definedNames>
    <definedName name="_xlnm._FilterDatabase" localSheetId="0" hidden="1">BD!$A$1:$AA$61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1" i="1" l="1"/>
  <c r="H61" i="1"/>
  <c r="L60" i="1"/>
  <c r="H60" i="1"/>
  <c r="L59" i="1"/>
  <c r="H59" i="1"/>
  <c r="L58" i="1"/>
  <c r="H58" i="1"/>
  <c r="L57" i="1"/>
  <c r="H57" i="1"/>
  <c r="L56" i="1"/>
  <c r="H56" i="1"/>
  <c r="L55" i="1"/>
  <c r="H55" i="1"/>
  <c r="L54" i="1"/>
  <c r="H54" i="1"/>
  <c r="L53" i="1"/>
  <c r="H53" i="1"/>
  <c r="L52" i="1"/>
  <c r="H52" i="1"/>
  <c r="L51" i="1"/>
  <c r="H51" i="1"/>
  <c r="L50" i="1"/>
  <c r="H50" i="1"/>
  <c r="L49" i="1"/>
  <c r="H49" i="1"/>
  <c r="L48" i="1"/>
  <c r="H48" i="1"/>
  <c r="L47" i="1"/>
  <c r="H47" i="1"/>
  <c r="L46" i="1"/>
  <c r="H46" i="1"/>
  <c r="L45" i="1"/>
  <c r="H45" i="1"/>
  <c r="L44" i="1"/>
  <c r="H44" i="1"/>
  <c r="L43" i="1"/>
  <c r="H43" i="1"/>
  <c r="L42" i="1"/>
  <c r="H42" i="1"/>
  <c r="L41" i="1"/>
  <c r="H41" i="1"/>
  <c r="L40" i="1"/>
  <c r="H40" i="1"/>
  <c r="L39" i="1"/>
  <c r="H39" i="1"/>
  <c r="L38" i="1"/>
  <c r="H38" i="1"/>
  <c r="L37" i="1"/>
  <c r="H37" i="1"/>
  <c r="L36" i="1"/>
  <c r="H36" i="1"/>
  <c r="L35" i="1"/>
  <c r="H35" i="1"/>
  <c r="L34" i="1"/>
  <c r="H34" i="1"/>
  <c r="L33" i="1"/>
  <c r="H33" i="1"/>
  <c r="L32" i="1"/>
  <c r="H32" i="1"/>
  <c r="L31" i="1"/>
  <c r="H31" i="1"/>
  <c r="L30" i="1"/>
  <c r="H30" i="1"/>
  <c r="L29" i="1"/>
  <c r="H29" i="1"/>
  <c r="L28" i="1"/>
  <c r="H28" i="1"/>
  <c r="L27" i="1"/>
  <c r="H27" i="1"/>
  <c r="L26" i="1"/>
  <c r="H26" i="1"/>
  <c r="L25" i="1"/>
  <c r="H25" i="1"/>
  <c r="L24" i="1"/>
  <c r="H24" i="1"/>
  <c r="L23" i="1"/>
  <c r="H23" i="1"/>
  <c r="L22" i="1"/>
  <c r="H22" i="1"/>
  <c r="L21" i="1"/>
  <c r="H21" i="1"/>
  <c r="L20" i="1"/>
  <c r="H20" i="1"/>
  <c r="L19" i="1"/>
  <c r="H19" i="1"/>
  <c r="L18" i="1"/>
  <c r="H18" i="1"/>
  <c r="L17" i="1"/>
  <c r="H17" i="1"/>
  <c r="L16" i="1"/>
  <c r="H16" i="1"/>
  <c r="L15" i="1"/>
  <c r="H15" i="1"/>
  <c r="L14" i="1"/>
  <c r="H14" i="1"/>
  <c r="L13" i="1"/>
  <c r="H13" i="1"/>
  <c r="L12" i="1"/>
  <c r="H12" i="1"/>
  <c r="L11" i="1"/>
  <c r="H11" i="1"/>
  <c r="L10" i="1"/>
  <c r="H10" i="1"/>
  <c r="L9" i="1"/>
  <c r="H9" i="1"/>
  <c r="L8" i="1"/>
  <c r="H8" i="1"/>
  <c r="L7" i="1"/>
  <c r="H7" i="1"/>
  <c r="L4" i="1"/>
  <c r="H4" i="1"/>
  <c r="L6" i="1"/>
  <c r="H6" i="1"/>
  <c r="L5" i="1"/>
  <c r="H5" i="1"/>
  <c r="L3" i="1"/>
  <c r="H3" i="1"/>
  <c r="L2" i="1"/>
  <c r="H2" i="1"/>
</calcChain>
</file>

<file path=xl/sharedStrings.xml><?xml version="1.0" encoding="utf-8"?>
<sst xmlns="http://schemas.openxmlformats.org/spreadsheetml/2006/main" count="695" uniqueCount="146">
  <si>
    <t>N°</t>
  </si>
  <si>
    <t>Campos</t>
  </si>
  <si>
    <t>Bloque</t>
  </si>
  <si>
    <t>Res. Rem. de liq. (MMBN)</t>
  </si>
  <si>
    <t>Res. Rem. de gas. (MMMPC)</t>
  </si>
  <si>
    <t>Reserva de Petróleo equivalente (MMBN)</t>
  </si>
  <si>
    <t>Iny. acum. gas (MMMPC)</t>
  </si>
  <si>
    <t>Prod. acum. liq. (BN)</t>
  </si>
  <si>
    <t>Prod. acum. gas (MPC)</t>
  </si>
  <si>
    <t>RGP (pc/Bn)</t>
  </si>
  <si>
    <t>Producción Actual (BD)</t>
  </si>
  <si>
    <t>Producción Actual (Mpcd)</t>
  </si>
  <si>
    <t>Pozos Categoria 2 y 3</t>
  </si>
  <si>
    <t xml:space="preserve"> Gravedad API.p</t>
  </si>
  <si>
    <t>Gravedad Esp. Gas.p</t>
  </si>
  <si>
    <t>K (mD)p</t>
  </si>
  <si>
    <t>Prof. plano de ref. (pbnm)p</t>
  </si>
  <si>
    <t>Disponibilidad de Recurso Humano Especializado</t>
  </si>
  <si>
    <t>Infraestructura</t>
  </si>
  <si>
    <t>Inseguridad</t>
  </si>
  <si>
    <t>Madurez de Tecnología para Desarrollo del Proyecto</t>
  </si>
  <si>
    <t>ELOTES</t>
  </si>
  <si>
    <t>Bloque Budare_Isla_Elotes</t>
  </si>
  <si>
    <t>Media</t>
  </si>
  <si>
    <t>Req. Lp, Ductos para Op.</t>
  </si>
  <si>
    <t>Baja</t>
  </si>
  <si>
    <t>BUDARE</t>
  </si>
  <si>
    <t>Req. LP, Ductos para Transporte y Comercialización</t>
  </si>
  <si>
    <t>IRA</t>
  </si>
  <si>
    <t xml:space="preserve">Req. Líneas de Pozos </t>
  </si>
  <si>
    <t>ISLA</t>
  </si>
  <si>
    <t>ELOTES NORTE</t>
  </si>
  <si>
    <t>BOCA</t>
  </si>
  <si>
    <t>Bloque Chimire_Boca</t>
  </si>
  <si>
    <t>Alta</t>
  </si>
  <si>
    <t>CHIMIRE R</t>
  </si>
  <si>
    <t>CHIMIRE</t>
  </si>
  <si>
    <t>Req. LP, Eq. Separación, Tratamiento, Compresión y Almacenamiento</t>
  </si>
  <si>
    <t>CHIMIRE CENTRAL</t>
  </si>
  <si>
    <t>CACHAMA R</t>
  </si>
  <si>
    <t>CHIMIRE NORTE</t>
  </si>
  <si>
    <t>BOCA R</t>
  </si>
  <si>
    <t>MELONES</t>
  </si>
  <si>
    <t>DACION</t>
  </si>
  <si>
    <t>GANSO</t>
  </si>
  <si>
    <t>LEVAS</t>
  </si>
  <si>
    <t>GUARA OESTE</t>
  </si>
  <si>
    <t>Bloque Guico_Guara</t>
  </si>
  <si>
    <t>GM 4</t>
  </si>
  <si>
    <t>GG 401</t>
  </si>
  <si>
    <t>GUICO</t>
  </si>
  <si>
    <t>GM 2</t>
  </si>
  <si>
    <t>GUICO SUR</t>
  </si>
  <si>
    <t>GUARA CENTRAL</t>
  </si>
  <si>
    <t>GUICO OESTE</t>
  </si>
  <si>
    <t>GUARA ESTE</t>
  </si>
  <si>
    <t>NARDO</t>
  </si>
  <si>
    <t>Bloque Nardo_Nipa_Nieblas</t>
  </si>
  <si>
    <t>NIPA</t>
  </si>
  <si>
    <t>NIPA 100</t>
  </si>
  <si>
    <t>NIPA OESTE</t>
  </si>
  <si>
    <t>NIPA CENTRAL</t>
  </si>
  <si>
    <t>NIEBLAS</t>
  </si>
  <si>
    <t>NIDOS</t>
  </si>
  <si>
    <t>OVEJA</t>
  </si>
  <si>
    <t>Bloque Ostra_Oveja</t>
  </si>
  <si>
    <t>OSTRA</t>
  </si>
  <si>
    <t>SOCORORO</t>
  </si>
  <si>
    <t>CACHICAMO</t>
  </si>
  <si>
    <t>CARICARI</t>
  </si>
  <si>
    <t>TRICO</t>
  </si>
  <si>
    <t>Bloque Yopales_Trico</t>
  </si>
  <si>
    <t>YOPALES CENTRAL</t>
  </si>
  <si>
    <t>YOPALES SUR</t>
  </si>
  <si>
    <t>YOPALES NORTE</t>
  </si>
  <si>
    <t>ESQUINA SUR</t>
  </si>
  <si>
    <t>ESQUINA R</t>
  </si>
  <si>
    <t>MAKIRITARE</t>
  </si>
  <si>
    <t>GUAHIBO</t>
  </si>
  <si>
    <t>DOBOKUBI</t>
  </si>
  <si>
    <t>BARE</t>
  </si>
  <si>
    <t>ARECUNA</t>
  </si>
  <si>
    <t>CARIÑA</t>
  </si>
  <si>
    <t>CASMA 1</t>
  </si>
  <si>
    <t>GUERE</t>
  </si>
  <si>
    <t>LAS PIEDRITAS</t>
  </si>
  <si>
    <t>LEJOS</t>
  </si>
  <si>
    <t>LOS MANGOS</t>
  </si>
  <si>
    <t>ACEMA CASMA</t>
  </si>
  <si>
    <t>MEREY</t>
  </si>
  <si>
    <t>OFICINA NORTE</t>
  </si>
  <si>
    <t>OLEOS</t>
  </si>
  <si>
    <t>SANVI</t>
  </si>
  <si>
    <t>CAICO ESTE</t>
  </si>
  <si>
    <t>Tipo de Desarrollo</t>
  </si>
  <si>
    <r>
      <t xml:space="preserve">CPP. </t>
    </r>
    <r>
      <rPr>
        <sz val="9"/>
        <color theme="1"/>
        <rFont val="Aptos Narrow"/>
        <family val="2"/>
        <scheme val="minor"/>
      </rPr>
      <t>(ORINOCO FUELTECH, C.A.)</t>
    </r>
  </si>
  <si>
    <r>
      <t>CPP. (</t>
    </r>
    <r>
      <rPr>
        <sz val="8"/>
        <color theme="1"/>
        <rFont val="Aptos Narrow"/>
        <family val="2"/>
        <scheme val="minor"/>
      </rPr>
      <t>CONSORCIO ALVORADA &amp; CLADOCA.)</t>
    </r>
  </si>
  <si>
    <r>
      <t>CPP.</t>
    </r>
    <r>
      <rPr>
        <sz val="9"/>
        <color theme="1"/>
        <rFont val="Calibri"/>
        <family val="2"/>
      </rPr>
      <t xml:space="preserve"> (VULCAN ENERGY TECHNOLOGY)</t>
    </r>
  </si>
  <si>
    <t>Bloque Socorro_Cachicamo</t>
  </si>
  <si>
    <r>
      <t xml:space="preserve">CPP. </t>
    </r>
    <r>
      <rPr>
        <sz val="8"/>
        <color theme="1"/>
        <rFont val="Aptos Narrow"/>
        <family val="2"/>
        <scheme val="minor"/>
      </rPr>
      <t>(ASIATICA DEL CARIBE ENERGY C.A.)</t>
    </r>
  </si>
  <si>
    <r>
      <t xml:space="preserve">CPP. </t>
    </r>
    <r>
      <rPr>
        <sz val="8"/>
        <color theme="1"/>
        <rFont val="Aptos Narrow"/>
        <family val="2"/>
        <scheme val="minor"/>
      </rPr>
      <t>(TERRITORIO TRADING GROUP,S.L.)</t>
    </r>
  </si>
  <si>
    <t>Bloque_Melones</t>
  </si>
  <si>
    <t>Bloque_Dación</t>
  </si>
  <si>
    <t>Ganso</t>
  </si>
  <si>
    <t>Levas</t>
  </si>
  <si>
    <t>Bloque_Cariña</t>
  </si>
  <si>
    <t>Bloque_Arecuna</t>
  </si>
  <si>
    <t>Bloque_Bare</t>
  </si>
  <si>
    <t>Bloque_Dobokubi</t>
  </si>
  <si>
    <t>Makiritare</t>
  </si>
  <si>
    <t>Guahibo</t>
  </si>
  <si>
    <r>
      <t xml:space="preserve">CPP. </t>
    </r>
    <r>
      <rPr>
        <sz val="9"/>
        <color theme="1"/>
        <rFont val="Aptos Narrow"/>
        <family val="2"/>
        <scheme val="minor"/>
      </rPr>
      <t>(LNG Energy Group)</t>
    </r>
  </si>
  <si>
    <t>Isla</t>
  </si>
  <si>
    <t>Ira</t>
  </si>
  <si>
    <r>
      <t xml:space="preserve">CPP. </t>
    </r>
    <r>
      <rPr>
        <sz val="9"/>
        <color theme="1"/>
        <rFont val="Calibri"/>
        <family val="2"/>
      </rPr>
      <t>Maurel &amp; Prom (M&amp;P)</t>
    </r>
  </si>
  <si>
    <r>
      <t xml:space="preserve">CPP. </t>
    </r>
    <r>
      <rPr>
        <sz val="9"/>
        <color theme="1"/>
        <rFont val="Calibri"/>
        <family val="2"/>
      </rPr>
      <t>Eni S.p.A.</t>
    </r>
  </si>
  <si>
    <r>
      <t xml:space="preserve">CPP. </t>
    </r>
    <r>
      <rPr>
        <sz val="9"/>
        <color theme="1"/>
        <rFont val="Calibri"/>
        <family val="2"/>
      </rPr>
      <t>(HAINAN BREY ENERGY CO LTD)</t>
    </r>
  </si>
  <si>
    <r>
      <t xml:space="preserve">CPP. </t>
    </r>
    <r>
      <rPr>
        <sz val="9"/>
        <color theme="1"/>
        <rFont val="Calibri"/>
        <family val="2"/>
      </rPr>
      <t>(CAVALLINO OIL COMPANY)</t>
    </r>
  </si>
  <si>
    <r>
      <t>CPP.</t>
    </r>
    <r>
      <rPr>
        <sz val="9"/>
        <color theme="1"/>
        <rFont val="Calibri"/>
        <family val="2"/>
      </rPr>
      <t xml:space="preserve"> (ORINOCO OIL C.A)</t>
    </r>
  </si>
  <si>
    <t>EP</t>
  </si>
  <si>
    <t>Hidrocarburo predominante % de Liviano-Mediano</t>
  </si>
  <si>
    <t>Campo</t>
  </si>
  <si>
    <t>Latitud (N)</t>
  </si>
  <si>
    <t>Longitud (W)</t>
  </si>
  <si>
    <t>Región/Bloque</t>
  </si>
  <si>
    <t>Área Mayor de Oficina</t>
  </si>
  <si>
    <t>Faja Petrolífera / Oficina</t>
  </si>
  <si>
    <t>Oficina</t>
  </si>
  <si>
    <t>Faja (Bloque Ayacucho)</t>
  </si>
  <si>
    <t>Clúster Guico/Guara</t>
  </si>
  <si>
    <t>Oficina Sur</t>
  </si>
  <si>
    <t>Faja (Ayacucho)</t>
  </si>
  <si>
    <t>Faja Petrolífera</t>
  </si>
  <si>
    <t>Faja (Bloque Junín)</t>
  </si>
  <si>
    <t>Anzoátegui Centro</t>
  </si>
  <si>
    <t>Norte de Monagas</t>
  </si>
  <si>
    <t>Monagas</t>
  </si>
  <si>
    <t>Oficina Norte</t>
  </si>
  <si>
    <t>Faja (Bloque Carabobo)</t>
  </si>
  <si>
    <t>CHIMIRE Central</t>
  </si>
  <si>
    <t>CHIMIRE Norte</t>
  </si>
  <si>
    <t>Mayor % de Tipo de Crudo</t>
  </si>
  <si>
    <t>Mediano</t>
  </si>
  <si>
    <t>Pesado</t>
  </si>
  <si>
    <t>Detalle Tipo de Desarrollo</t>
  </si>
  <si>
    <t>CPP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</si>
</sst>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27547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right" vertical="center" wrapText="1"/>
    </xf>
    <xf numFmtId="2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90B032C-297C-40F1-92DF-756EE72D36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8B3C9-D7FE-4553-A201-979C9C01EC8E}">
  <dimension ref="A1:AA6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baseColWidth="10" defaultRowHeight="14.4" x14ac:dyDescent="0.3"/>
  <cols>
    <col min="1" max="1" width="7.33203125" customWidth="1"/>
    <col min="2" max="2" width="18.77734375" customWidth="1"/>
    <col min="3" max="3" width="25.5546875" customWidth="1"/>
    <col min="4" max="4" width="19.77734375" bestFit="1" customWidth="1"/>
    <col min="5" max="5" width="30.109375" customWidth="1"/>
    <col min="6" max="6" width="17.77734375" customWidth="1"/>
    <col min="7" max="7" width="16.6640625" customWidth="1"/>
    <col min="8" max="8" width="21.21875" customWidth="1"/>
    <col min="9" max="14" width="16" customWidth="1"/>
    <col min="15" max="15" width="15.109375" customWidth="1"/>
    <col min="16" max="16" width="14.77734375" customWidth="1"/>
    <col min="17" max="17" width="14.5546875" customWidth="1"/>
    <col min="18" max="18" width="12.88671875" customWidth="1"/>
    <col min="19" max="19" width="14.5546875" customWidth="1"/>
    <col min="20" max="20" width="17.5546875" customWidth="1"/>
    <col min="21" max="21" width="14.77734375" customWidth="1"/>
    <col min="22" max="22" width="23.21875" customWidth="1"/>
    <col min="23" max="23" width="56.21875" customWidth="1"/>
    <col min="24" max="24" width="14.5546875" customWidth="1"/>
    <col min="25" max="25" width="24.109375" customWidth="1"/>
    <col min="26" max="26" width="15.33203125" customWidth="1"/>
  </cols>
  <sheetData>
    <row r="1" spans="1:27" ht="39.6" customHeight="1" x14ac:dyDescent="0.3">
      <c r="A1" s="1" t="s">
        <v>0</v>
      </c>
      <c r="B1" s="1" t="s">
        <v>1</v>
      </c>
      <c r="C1" s="1" t="s">
        <v>2</v>
      </c>
      <c r="D1" s="1" t="s">
        <v>94</v>
      </c>
      <c r="E1" s="1" t="s">
        <v>144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120</v>
      </c>
      <c r="U1" s="2" t="s">
        <v>141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122</v>
      </c>
      <c r="AA1" s="2" t="s">
        <v>123</v>
      </c>
    </row>
    <row r="2" spans="1:27" x14ac:dyDescent="0.3">
      <c r="A2" s="3">
        <v>1</v>
      </c>
      <c r="B2" s="3" t="s">
        <v>21</v>
      </c>
      <c r="C2" s="3" t="s">
        <v>22</v>
      </c>
      <c r="D2" s="3" t="s">
        <v>145</v>
      </c>
      <c r="E2" s="3" t="s">
        <v>111</v>
      </c>
      <c r="F2" s="4">
        <v>131.39624599999999</v>
      </c>
      <c r="G2" s="4">
        <v>669.36073599999997</v>
      </c>
      <c r="H2" s="5">
        <f t="shared" ref="H2:H33" si="0">F2+(G2/5.8)</f>
        <v>246.80326944827584</v>
      </c>
      <c r="I2" s="4">
        <v>24.992963</v>
      </c>
      <c r="J2" s="4">
        <v>127.030365</v>
      </c>
      <c r="K2" s="4">
        <v>186.37001699999999</v>
      </c>
      <c r="L2" s="6">
        <f t="shared" ref="L2:L33" si="1">G2*1000/F2</f>
        <v>5094.215066083395</v>
      </c>
      <c r="M2" s="3">
        <v>351</v>
      </c>
      <c r="N2" s="3">
        <v>1943</v>
      </c>
      <c r="O2" s="3">
        <v>109</v>
      </c>
      <c r="P2" s="4">
        <v>32.952343749999997</v>
      </c>
      <c r="Q2" s="4">
        <v>0.7619862258953215</v>
      </c>
      <c r="R2" s="4">
        <v>688.19886363636363</v>
      </c>
      <c r="S2" s="4">
        <v>3761.5840707964603</v>
      </c>
      <c r="T2" s="3">
        <v>0.92370991717986839</v>
      </c>
      <c r="U2" s="3" t="s">
        <v>142</v>
      </c>
      <c r="V2" s="3" t="s">
        <v>23</v>
      </c>
      <c r="W2" s="7" t="s">
        <v>24</v>
      </c>
      <c r="X2" s="3" t="s">
        <v>23</v>
      </c>
      <c r="Y2" s="3" t="s">
        <v>25</v>
      </c>
      <c r="Z2" s="3">
        <v>9.0120000000000005</v>
      </c>
      <c r="AA2" s="3">
        <v>-64.125</v>
      </c>
    </row>
    <row r="3" spans="1:27" x14ac:dyDescent="0.3">
      <c r="A3" s="3">
        <v>2</v>
      </c>
      <c r="B3" s="3" t="s">
        <v>26</v>
      </c>
      <c r="C3" s="3" t="s">
        <v>22</v>
      </c>
      <c r="D3" s="3" t="s">
        <v>145</v>
      </c>
      <c r="E3" s="3" t="s">
        <v>111</v>
      </c>
      <c r="F3" s="4">
        <v>125.138608</v>
      </c>
      <c r="G3" s="4">
        <v>377.349403</v>
      </c>
      <c r="H3" s="5">
        <f t="shared" si="0"/>
        <v>190.19884989655174</v>
      </c>
      <c r="I3" s="4">
        <v>20.314</v>
      </c>
      <c r="J3" s="4">
        <v>171.88793100000001</v>
      </c>
      <c r="K3" s="4">
        <v>149.46267399999999</v>
      </c>
      <c r="L3" s="6">
        <f t="shared" si="1"/>
        <v>3015.4514983896893</v>
      </c>
      <c r="M3" s="3">
        <v>500</v>
      </c>
      <c r="N3" s="3">
        <v>0</v>
      </c>
      <c r="O3" s="3">
        <v>83</v>
      </c>
      <c r="P3" s="4">
        <v>29.353488372093015</v>
      </c>
      <c r="Q3" s="4">
        <v>0.80934972677595773</v>
      </c>
      <c r="R3" s="4">
        <v>500.80874316939889</v>
      </c>
      <c r="S3" s="4">
        <v>2865.1912568306011</v>
      </c>
      <c r="T3" s="3">
        <v>0.99820765688976687</v>
      </c>
      <c r="U3" s="3" t="s">
        <v>142</v>
      </c>
      <c r="V3" s="3" t="s">
        <v>25</v>
      </c>
      <c r="W3" s="7" t="s">
        <v>27</v>
      </c>
      <c r="X3" s="3" t="s">
        <v>23</v>
      </c>
      <c r="Y3" s="3" t="s">
        <v>25</v>
      </c>
      <c r="Z3" s="3">
        <v>8.85</v>
      </c>
      <c r="AA3" s="3">
        <v>-64.75</v>
      </c>
    </row>
    <row r="4" spans="1:27" x14ac:dyDescent="0.3">
      <c r="A4" s="3">
        <v>5</v>
      </c>
      <c r="B4" s="3" t="s">
        <v>31</v>
      </c>
      <c r="C4" s="3" t="s">
        <v>22</v>
      </c>
      <c r="D4" s="3" t="s">
        <v>145</v>
      </c>
      <c r="E4" s="3" t="s">
        <v>111</v>
      </c>
      <c r="F4" s="4">
        <v>20.288405999999998</v>
      </c>
      <c r="G4" s="4">
        <v>69.154212000000001</v>
      </c>
      <c r="H4" s="5">
        <f t="shared" si="0"/>
        <v>32.211545999999998</v>
      </c>
      <c r="I4" s="4">
        <v>0</v>
      </c>
      <c r="J4" s="4">
        <v>9.0529849999999996</v>
      </c>
      <c r="K4" s="4">
        <v>29.107723</v>
      </c>
      <c r="L4" s="6">
        <f t="shared" si="1"/>
        <v>3408.55816864075</v>
      </c>
      <c r="M4" s="3">
        <v>184</v>
      </c>
      <c r="N4" s="3">
        <v>34</v>
      </c>
      <c r="O4" s="3">
        <v>16</v>
      </c>
      <c r="P4" s="4">
        <v>34.402499999999996</v>
      </c>
      <c r="Q4" s="4">
        <v>0.85613043478260864</v>
      </c>
      <c r="R4" s="4">
        <v>760.41304347826087</v>
      </c>
      <c r="S4" s="4">
        <v>4535.8536585365855</v>
      </c>
      <c r="T4" s="3">
        <v>0.97906197654941374</v>
      </c>
      <c r="U4" s="3" t="s">
        <v>142</v>
      </c>
      <c r="V4" s="3" t="s">
        <v>23</v>
      </c>
      <c r="W4" s="7" t="s">
        <v>27</v>
      </c>
      <c r="X4" s="3" t="s">
        <v>23</v>
      </c>
      <c r="Y4" s="3" t="s">
        <v>25</v>
      </c>
      <c r="Z4" s="3">
        <v>9.0120000000000005</v>
      </c>
      <c r="AA4" s="3">
        <v>-64.125</v>
      </c>
    </row>
    <row r="5" spans="1:27" x14ac:dyDescent="0.3">
      <c r="A5" s="3">
        <v>3</v>
      </c>
      <c r="B5" s="3" t="s">
        <v>28</v>
      </c>
      <c r="C5" s="3" t="s">
        <v>113</v>
      </c>
      <c r="D5" s="3" t="s">
        <v>119</v>
      </c>
      <c r="E5" s="3" t="s">
        <v>119</v>
      </c>
      <c r="F5" s="4">
        <v>93.870545000000007</v>
      </c>
      <c r="G5" s="4">
        <v>127.053287</v>
      </c>
      <c r="H5" s="5">
        <f t="shared" si="0"/>
        <v>115.77628413793104</v>
      </c>
      <c r="I5" s="4">
        <v>0.97178500000000001</v>
      </c>
      <c r="J5" s="4">
        <v>10.776820000000001</v>
      </c>
      <c r="K5" s="4">
        <v>20.092777999999999</v>
      </c>
      <c r="L5" s="6">
        <f t="shared" si="1"/>
        <v>1353.4947197760489</v>
      </c>
      <c r="M5" s="3">
        <v>180</v>
      </c>
      <c r="N5" s="3">
        <v>0</v>
      </c>
      <c r="O5" s="3">
        <v>32</v>
      </c>
      <c r="P5" s="4">
        <v>35.264583333333327</v>
      </c>
      <c r="Q5" s="4">
        <v>0.83687272727272666</v>
      </c>
      <c r="R5" s="4">
        <v>801.12037037037032</v>
      </c>
      <c r="S5" s="4">
        <v>4568.4680851063831</v>
      </c>
      <c r="T5" s="3">
        <v>0.94915705223721747</v>
      </c>
      <c r="U5" s="3" t="s">
        <v>142</v>
      </c>
      <c r="V5" s="3" t="s">
        <v>23</v>
      </c>
      <c r="W5" s="7" t="s">
        <v>29</v>
      </c>
      <c r="X5" s="3" t="s">
        <v>23</v>
      </c>
      <c r="Y5" s="3" t="s">
        <v>25</v>
      </c>
      <c r="Z5" s="3">
        <v>8.9499999999999993</v>
      </c>
      <c r="AA5" s="3">
        <v>-64.2</v>
      </c>
    </row>
    <row r="6" spans="1:27" x14ac:dyDescent="0.3">
      <c r="A6" s="3">
        <v>4</v>
      </c>
      <c r="B6" s="3" t="s">
        <v>30</v>
      </c>
      <c r="C6" s="3" t="s">
        <v>112</v>
      </c>
      <c r="D6" s="3" t="s">
        <v>119</v>
      </c>
      <c r="E6" s="3" t="s">
        <v>119</v>
      </c>
      <c r="F6" s="4">
        <v>93.551595000000006</v>
      </c>
      <c r="G6" s="4">
        <v>220.551468</v>
      </c>
      <c r="H6" s="5">
        <f t="shared" si="0"/>
        <v>131.57771017241379</v>
      </c>
      <c r="I6" s="4">
        <v>129.685968</v>
      </c>
      <c r="J6" s="4">
        <v>74.252069000000006</v>
      </c>
      <c r="K6" s="4">
        <v>192.077427</v>
      </c>
      <c r="L6" s="6">
        <f t="shared" si="1"/>
        <v>2357.5382974496583</v>
      </c>
      <c r="M6" s="3">
        <v>240</v>
      </c>
      <c r="N6" s="3">
        <v>937</v>
      </c>
      <c r="O6" s="3">
        <v>45</v>
      </c>
      <c r="P6" s="4">
        <v>36.80149253731345</v>
      </c>
      <c r="Q6" s="4">
        <v>0.85044578313253039</v>
      </c>
      <c r="R6" s="4">
        <v>1450.385185185185</v>
      </c>
      <c r="S6" s="4">
        <v>4443.7530864197533</v>
      </c>
      <c r="T6" s="3">
        <v>0.99912803062526589</v>
      </c>
      <c r="U6" s="3" t="s">
        <v>142</v>
      </c>
      <c r="V6" s="3" t="s">
        <v>23</v>
      </c>
      <c r="W6" s="7" t="s">
        <v>29</v>
      </c>
      <c r="X6" s="3" t="s">
        <v>23</v>
      </c>
      <c r="Y6" s="3" t="s">
        <v>25</v>
      </c>
      <c r="Z6" s="3">
        <v>8.9499999999999993</v>
      </c>
      <c r="AA6" s="3">
        <v>-64.2</v>
      </c>
    </row>
    <row r="7" spans="1:27" x14ac:dyDescent="0.3">
      <c r="A7" s="3">
        <v>6</v>
      </c>
      <c r="B7" s="3" t="s">
        <v>32</v>
      </c>
      <c r="C7" s="3" t="s">
        <v>33</v>
      </c>
      <c r="D7" s="3" t="s">
        <v>119</v>
      </c>
      <c r="E7" s="3" t="s">
        <v>119</v>
      </c>
      <c r="F7" s="4">
        <v>136.78695300000001</v>
      </c>
      <c r="G7" s="4">
        <v>444.93146100000001</v>
      </c>
      <c r="H7" s="5">
        <f t="shared" si="0"/>
        <v>213.49927386206897</v>
      </c>
      <c r="I7" s="4">
        <v>82.921334999999999</v>
      </c>
      <c r="J7" s="4">
        <v>58.630155000000002</v>
      </c>
      <c r="K7" s="4">
        <v>126.930823</v>
      </c>
      <c r="L7" s="6">
        <f t="shared" si="1"/>
        <v>3252.7331828204401</v>
      </c>
      <c r="M7" s="3">
        <v>0</v>
      </c>
      <c r="N7" s="3">
        <v>0</v>
      </c>
      <c r="O7" s="3">
        <v>48</v>
      </c>
      <c r="P7" s="4">
        <v>31.398543689320398</v>
      </c>
      <c r="Q7" s="4">
        <v>0.8046473214285722</v>
      </c>
      <c r="R7" s="4">
        <v>169.13392857142858</v>
      </c>
      <c r="S7" s="4">
        <v>6853.7723214285716</v>
      </c>
      <c r="T7" s="3">
        <v>0.9666196349068259</v>
      </c>
      <c r="U7" s="3" t="s">
        <v>142</v>
      </c>
      <c r="V7" s="3" t="s">
        <v>25</v>
      </c>
      <c r="W7" s="7" t="s">
        <v>27</v>
      </c>
      <c r="X7" s="3" t="s">
        <v>34</v>
      </c>
      <c r="Y7" s="3" t="s">
        <v>25</v>
      </c>
      <c r="Z7" s="3">
        <v>8.9499999999999993</v>
      </c>
      <c r="AA7" s="3">
        <v>-64.2</v>
      </c>
    </row>
    <row r="8" spans="1:27" x14ac:dyDescent="0.3">
      <c r="A8" s="3">
        <v>7</v>
      </c>
      <c r="B8" s="3" t="s">
        <v>35</v>
      </c>
      <c r="C8" s="3" t="s">
        <v>33</v>
      </c>
      <c r="D8" s="3" t="s">
        <v>119</v>
      </c>
      <c r="E8" s="3" t="s">
        <v>119</v>
      </c>
      <c r="F8" s="4">
        <v>115.053771</v>
      </c>
      <c r="G8" s="4">
        <v>367.03709900000001</v>
      </c>
      <c r="H8" s="5">
        <f t="shared" si="0"/>
        <v>178.33602944827587</v>
      </c>
      <c r="I8" s="4">
        <v>48.546999999999997</v>
      </c>
      <c r="J8" s="4">
        <v>65.531411000000006</v>
      </c>
      <c r="K8" s="4">
        <v>102.254813</v>
      </c>
      <c r="L8" s="6">
        <f t="shared" si="1"/>
        <v>3190.1353237696139</v>
      </c>
      <c r="M8" s="3">
        <v>0</v>
      </c>
      <c r="N8" s="3">
        <v>0</v>
      </c>
      <c r="O8" s="3">
        <v>65</v>
      </c>
      <c r="P8" s="4">
        <v>31.613065326633151</v>
      </c>
      <c r="Q8" s="4">
        <v>0.80308056872038014</v>
      </c>
      <c r="R8" s="4">
        <v>189.67772511848341</v>
      </c>
      <c r="S8" s="4">
        <v>5508.6303317535549</v>
      </c>
      <c r="T8" s="3">
        <v>0.97443853427895977</v>
      </c>
      <c r="U8" s="3" t="s">
        <v>142</v>
      </c>
      <c r="V8" s="3" t="s">
        <v>25</v>
      </c>
      <c r="W8" s="7" t="s">
        <v>27</v>
      </c>
      <c r="X8" s="3" t="s">
        <v>34</v>
      </c>
      <c r="Y8" s="3" t="s">
        <v>25</v>
      </c>
      <c r="Z8" s="3">
        <v>9.0500000000000007</v>
      </c>
      <c r="AA8" s="3">
        <v>-64.25</v>
      </c>
    </row>
    <row r="9" spans="1:27" x14ac:dyDescent="0.3">
      <c r="A9" s="3">
        <v>8</v>
      </c>
      <c r="B9" s="3" t="s">
        <v>36</v>
      </c>
      <c r="C9" s="3" t="s">
        <v>33</v>
      </c>
      <c r="D9" s="3" t="s">
        <v>119</v>
      </c>
      <c r="E9" s="3" t="s">
        <v>119</v>
      </c>
      <c r="F9" s="4">
        <v>100.30678</v>
      </c>
      <c r="G9" s="4">
        <v>796.81204600000001</v>
      </c>
      <c r="H9" s="5">
        <f t="shared" si="0"/>
        <v>237.68816724137932</v>
      </c>
      <c r="I9" s="4">
        <v>450.029044</v>
      </c>
      <c r="J9" s="4">
        <v>256.98659700000002</v>
      </c>
      <c r="K9" s="4">
        <v>493.487008</v>
      </c>
      <c r="L9" s="6">
        <f t="shared" si="1"/>
        <v>7943.7506218423114</v>
      </c>
      <c r="M9" s="3">
        <v>0</v>
      </c>
      <c r="N9" s="3">
        <v>0</v>
      </c>
      <c r="O9" s="3">
        <v>77</v>
      </c>
      <c r="P9" s="4">
        <v>32.14581005586593</v>
      </c>
      <c r="Q9" s="4">
        <v>0.80716585365853877</v>
      </c>
      <c r="R9" s="4">
        <v>404.7439024390244</v>
      </c>
      <c r="S9" s="4">
        <v>5630.1073170731706</v>
      </c>
      <c r="T9" s="3">
        <v>0.98492817723586956</v>
      </c>
      <c r="U9" s="3" t="s">
        <v>142</v>
      </c>
      <c r="V9" s="3" t="s">
        <v>25</v>
      </c>
      <c r="W9" s="7" t="s">
        <v>37</v>
      </c>
      <c r="X9" s="3" t="s">
        <v>34</v>
      </c>
      <c r="Y9" s="3" t="s">
        <v>25</v>
      </c>
      <c r="Z9" s="3">
        <v>9.0500000000000007</v>
      </c>
      <c r="AA9" s="3">
        <v>-64.25</v>
      </c>
    </row>
    <row r="10" spans="1:27" x14ac:dyDescent="0.3">
      <c r="A10" s="3">
        <v>9</v>
      </c>
      <c r="B10" s="3" t="s">
        <v>38</v>
      </c>
      <c r="C10" s="3" t="s">
        <v>33</v>
      </c>
      <c r="D10" s="3" t="s">
        <v>119</v>
      </c>
      <c r="E10" s="3" t="s">
        <v>119</v>
      </c>
      <c r="F10" s="4">
        <v>50.778409000000003</v>
      </c>
      <c r="G10" s="4">
        <v>167.46463900000001</v>
      </c>
      <c r="H10" s="5">
        <f t="shared" si="0"/>
        <v>79.651622620689665</v>
      </c>
      <c r="I10" s="4">
        <v>41.591000000000001</v>
      </c>
      <c r="J10" s="4">
        <v>31.713418999999998</v>
      </c>
      <c r="K10" s="4">
        <v>81.055695</v>
      </c>
      <c r="L10" s="6">
        <f t="shared" si="1"/>
        <v>3297.9497053560694</v>
      </c>
      <c r="M10" s="3">
        <v>0</v>
      </c>
      <c r="N10" s="3">
        <v>0</v>
      </c>
      <c r="O10" s="3">
        <v>32</v>
      </c>
      <c r="P10" s="4">
        <v>30.280000000000005</v>
      </c>
      <c r="Q10" s="4">
        <v>0.78552542372881351</v>
      </c>
      <c r="R10" s="4">
        <v>180.05084745762713</v>
      </c>
      <c r="S10" s="4">
        <v>5615.2542372881353</v>
      </c>
      <c r="T10" s="3">
        <v>0.86998306353145061</v>
      </c>
      <c r="U10" s="3" t="s">
        <v>142</v>
      </c>
      <c r="V10" s="3" t="s">
        <v>25</v>
      </c>
      <c r="W10" s="7" t="s">
        <v>27</v>
      </c>
      <c r="X10" s="3" t="s">
        <v>34</v>
      </c>
      <c r="Y10" s="3" t="s">
        <v>25</v>
      </c>
      <c r="Z10" s="3">
        <v>9.0500000000000007</v>
      </c>
      <c r="AA10" s="3">
        <v>-64.25</v>
      </c>
    </row>
    <row r="11" spans="1:27" x14ac:dyDescent="0.3">
      <c r="A11" s="3">
        <v>10</v>
      </c>
      <c r="B11" s="3" t="s">
        <v>39</v>
      </c>
      <c r="C11" s="3" t="s">
        <v>33</v>
      </c>
      <c r="D11" s="3" t="s">
        <v>119</v>
      </c>
      <c r="E11" s="3" t="s">
        <v>119</v>
      </c>
      <c r="F11" s="4">
        <v>47.888694999999998</v>
      </c>
      <c r="G11" s="4">
        <v>159.34530899999999</v>
      </c>
      <c r="H11" s="5">
        <f t="shared" si="0"/>
        <v>75.36202413793103</v>
      </c>
      <c r="I11" s="4">
        <v>0</v>
      </c>
      <c r="J11" s="4">
        <v>8.5765189999999993</v>
      </c>
      <c r="K11" s="4">
        <v>12.49081</v>
      </c>
      <c r="L11" s="6">
        <f t="shared" si="1"/>
        <v>3327.409715382722</v>
      </c>
      <c r="M11" s="3">
        <v>0</v>
      </c>
      <c r="N11" s="3">
        <v>0</v>
      </c>
      <c r="O11" s="3">
        <v>25</v>
      </c>
      <c r="P11" s="4">
        <v>33.547619047619051</v>
      </c>
      <c r="Q11" s="4">
        <v>0.8238452380952378</v>
      </c>
      <c r="R11" s="4">
        <v>197.16666666666666</v>
      </c>
      <c r="S11" s="4">
        <v>6693.7142857142853</v>
      </c>
      <c r="T11" s="10">
        <v>1</v>
      </c>
      <c r="U11" s="3" t="s">
        <v>142</v>
      </c>
      <c r="V11" s="3" t="s">
        <v>25</v>
      </c>
      <c r="W11" s="7" t="s">
        <v>27</v>
      </c>
      <c r="X11" s="3" t="s">
        <v>34</v>
      </c>
      <c r="Y11" s="3" t="s">
        <v>25</v>
      </c>
      <c r="Z11" s="3">
        <v>9.1199999999999992</v>
      </c>
      <c r="AA11" s="3">
        <v>-64.180000000000007</v>
      </c>
    </row>
    <row r="12" spans="1:27" x14ac:dyDescent="0.3">
      <c r="A12" s="3">
        <v>11</v>
      </c>
      <c r="B12" s="3" t="s">
        <v>40</v>
      </c>
      <c r="C12" s="3" t="s">
        <v>33</v>
      </c>
      <c r="D12" s="3" t="s">
        <v>119</v>
      </c>
      <c r="E12" s="3" t="s">
        <v>119</v>
      </c>
      <c r="F12" s="4">
        <v>27.998940999999999</v>
      </c>
      <c r="G12" s="4">
        <v>170.62588</v>
      </c>
      <c r="H12" s="5">
        <f t="shared" si="0"/>
        <v>57.417196172413796</v>
      </c>
      <c r="I12" s="4">
        <v>24.736000000000001</v>
      </c>
      <c r="J12" s="4">
        <v>46.100290999999999</v>
      </c>
      <c r="K12" s="4">
        <v>71.485437000000005</v>
      </c>
      <c r="L12" s="6">
        <f t="shared" si="1"/>
        <v>6094.0119128077031</v>
      </c>
      <c r="M12" s="3">
        <v>0</v>
      </c>
      <c r="N12" s="3">
        <v>0</v>
      </c>
      <c r="O12" s="3">
        <v>29</v>
      </c>
      <c r="P12" s="4">
        <v>34.159154929577468</v>
      </c>
      <c r="Q12" s="4">
        <v>0.79543055555555564</v>
      </c>
      <c r="R12" s="4">
        <v>158.55555555555554</v>
      </c>
      <c r="S12" s="4">
        <v>6462.9444444444443</v>
      </c>
      <c r="T12" s="3">
        <v>0.88884920351453678</v>
      </c>
      <c r="U12" s="3" t="s">
        <v>142</v>
      </c>
      <c r="V12" s="3" t="s">
        <v>25</v>
      </c>
      <c r="W12" s="7" t="s">
        <v>37</v>
      </c>
      <c r="X12" s="3" t="s">
        <v>34</v>
      </c>
      <c r="Y12" s="3" t="s">
        <v>25</v>
      </c>
      <c r="Z12" s="3">
        <v>9.0500000000000007</v>
      </c>
      <c r="AA12" s="3">
        <v>-64.25</v>
      </c>
    </row>
    <row r="13" spans="1:27" x14ac:dyDescent="0.3">
      <c r="A13" s="3">
        <v>12</v>
      </c>
      <c r="B13" s="3" t="s">
        <v>41</v>
      </c>
      <c r="C13" s="3" t="s">
        <v>33</v>
      </c>
      <c r="D13" s="3" t="s">
        <v>119</v>
      </c>
      <c r="E13" s="3" t="s">
        <v>119</v>
      </c>
      <c r="F13" s="4">
        <v>11.750048</v>
      </c>
      <c r="G13" s="4">
        <v>49.328581</v>
      </c>
      <c r="H13" s="5">
        <f t="shared" si="0"/>
        <v>20.254975758620688</v>
      </c>
      <c r="I13" s="4">
        <v>0</v>
      </c>
      <c r="J13" s="4">
        <v>22.548736000000002</v>
      </c>
      <c r="K13" s="4">
        <v>55.124578</v>
      </c>
      <c r="L13" s="6">
        <f t="shared" si="1"/>
        <v>4198.1599564529442</v>
      </c>
      <c r="M13" s="3">
        <v>0</v>
      </c>
      <c r="N13" s="3">
        <v>0</v>
      </c>
      <c r="O13" s="3">
        <v>13</v>
      </c>
      <c r="P13" s="4">
        <v>36.30454545454544</v>
      </c>
      <c r="Q13" s="4">
        <v>0.80713636363636387</v>
      </c>
      <c r="R13" s="4">
        <v>160.81818181818181</v>
      </c>
      <c r="S13" s="4">
        <v>6355.954545454545</v>
      </c>
      <c r="T13" s="3">
        <v>0.98774572376818992</v>
      </c>
      <c r="U13" s="3" t="s">
        <v>142</v>
      </c>
      <c r="V13" s="3" t="s">
        <v>25</v>
      </c>
      <c r="W13" s="7" t="s">
        <v>37</v>
      </c>
      <c r="X13" s="3" t="s">
        <v>23</v>
      </c>
      <c r="Y13" s="3" t="s">
        <v>25</v>
      </c>
      <c r="Z13" s="3">
        <v>8.98</v>
      </c>
      <c r="AA13" s="3">
        <v>-64.22</v>
      </c>
    </row>
    <row r="14" spans="1:27" x14ac:dyDescent="0.3">
      <c r="A14" s="3">
        <v>13</v>
      </c>
      <c r="B14" s="3" t="s">
        <v>42</v>
      </c>
      <c r="C14" s="3" t="s">
        <v>101</v>
      </c>
      <c r="D14" s="3" t="s">
        <v>145</v>
      </c>
      <c r="E14" s="11" t="s">
        <v>100</v>
      </c>
      <c r="F14" s="4">
        <v>1072.455829</v>
      </c>
      <c r="G14" s="4">
        <v>1509.876931</v>
      </c>
      <c r="H14" s="5">
        <f t="shared" si="0"/>
        <v>1332.7794377931034</v>
      </c>
      <c r="I14" s="4">
        <v>0</v>
      </c>
      <c r="J14" s="4">
        <v>366.10221200000001</v>
      </c>
      <c r="K14" s="4">
        <v>147.292002</v>
      </c>
      <c r="L14" s="6">
        <f t="shared" si="1"/>
        <v>1407.8686414599181</v>
      </c>
      <c r="M14" s="3">
        <v>1361</v>
      </c>
      <c r="N14" s="3">
        <v>450</v>
      </c>
      <c r="O14" s="3">
        <v>378</v>
      </c>
      <c r="P14" s="4">
        <v>11.892720306513411</v>
      </c>
      <c r="Q14" s="4">
        <v>0.75951711026615698</v>
      </c>
      <c r="R14" s="4">
        <v>1095.3231939163497</v>
      </c>
      <c r="S14" s="4">
        <v>3381.81640625</v>
      </c>
      <c r="T14" s="3">
        <v>0.56789999999999996</v>
      </c>
      <c r="U14" s="3" t="s">
        <v>142</v>
      </c>
      <c r="V14" s="3" t="s">
        <v>23</v>
      </c>
      <c r="W14" s="7" t="s">
        <v>29</v>
      </c>
      <c r="X14" s="3" t="s">
        <v>23</v>
      </c>
      <c r="Y14" s="3" t="s">
        <v>25</v>
      </c>
      <c r="Z14" s="3">
        <v>8.65</v>
      </c>
      <c r="AA14" s="3">
        <v>-63.6</v>
      </c>
    </row>
    <row r="15" spans="1:27" x14ac:dyDescent="0.3">
      <c r="A15" s="3">
        <v>14</v>
      </c>
      <c r="B15" s="3" t="s">
        <v>43</v>
      </c>
      <c r="C15" s="3" t="s">
        <v>102</v>
      </c>
      <c r="D15" s="3" t="s">
        <v>145</v>
      </c>
      <c r="E15" s="11" t="s">
        <v>99</v>
      </c>
      <c r="F15" s="4">
        <v>141.91470899999999</v>
      </c>
      <c r="G15" s="4">
        <v>352.65925600000003</v>
      </c>
      <c r="H15" s="5">
        <f t="shared" si="0"/>
        <v>202.718029</v>
      </c>
      <c r="I15" s="4">
        <v>11.548</v>
      </c>
      <c r="J15" s="4">
        <v>485.73979400000002</v>
      </c>
      <c r="K15" s="4">
        <v>314.53895499999999</v>
      </c>
      <c r="L15" s="6">
        <f t="shared" si="1"/>
        <v>2485.008484920334</v>
      </c>
      <c r="M15" s="3">
        <v>1400</v>
      </c>
      <c r="N15" s="3">
        <v>0</v>
      </c>
      <c r="O15" s="3">
        <v>319</v>
      </c>
      <c r="P15" s="4">
        <v>20.867941176470577</v>
      </c>
      <c r="Q15" s="4">
        <v>0.75237362637362459</v>
      </c>
      <c r="R15" s="4">
        <v>662.32676056338028</v>
      </c>
      <c r="S15" s="4">
        <v>5128.5082417582416</v>
      </c>
      <c r="T15" s="3">
        <v>0.34561778837723145</v>
      </c>
      <c r="U15" s="3" t="s">
        <v>142</v>
      </c>
      <c r="V15" s="3" t="s">
        <v>23</v>
      </c>
      <c r="W15" s="7" t="s">
        <v>29</v>
      </c>
      <c r="X15" s="3" t="s">
        <v>23</v>
      </c>
      <c r="Y15" s="3" t="s">
        <v>25</v>
      </c>
      <c r="Z15" s="3">
        <v>8.8800000000000008</v>
      </c>
      <c r="AA15" s="3">
        <v>-63.85</v>
      </c>
    </row>
    <row r="16" spans="1:27" x14ac:dyDescent="0.3">
      <c r="A16" s="3">
        <v>15</v>
      </c>
      <c r="B16" s="3" t="s">
        <v>44</v>
      </c>
      <c r="C16" s="3" t="s">
        <v>103</v>
      </c>
      <c r="D16" s="3" t="s">
        <v>119</v>
      </c>
      <c r="E16" s="3" t="s">
        <v>119</v>
      </c>
      <c r="F16" s="4">
        <v>53.843507000000002</v>
      </c>
      <c r="G16" s="4">
        <v>85.622038000000003</v>
      </c>
      <c r="H16" s="5">
        <f t="shared" si="0"/>
        <v>68.605927344827592</v>
      </c>
      <c r="I16" s="4">
        <v>5.5449999999999999</v>
      </c>
      <c r="J16" s="4">
        <v>55.829492999999999</v>
      </c>
      <c r="K16" s="4">
        <v>27.876932</v>
      </c>
      <c r="L16" s="6">
        <f t="shared" si="1"/>
        <v>1590.2017303590569</v>
      </c>
      <c r="M16" s="3">
        <v>0</v>
      </c>
      <c r="N16" s="3">
        <v>0</v>
      </c>
      <c r="O16" s="3">
        <v>46</v>
      </c>
      <c r="P16" s="4">
        <v>17.583950617283946</v>
      </c>
      <c r="Q16" s="4">
        <v>0.80269411764705967</v>
      </c>
      <c r="R16" s="4">
        <v>2363.9620253164558</v>
      </c>
      <c r="S16" s="4">
        <v>4715.411764705882</v>
      </c>
      <c r="T16" s="3">
        <v>5.7144138688914305E-2</v>
      </c>
      <c r="U16" s="3" t="s">
        <v>142</v>
      </c>
      <c r="V16" s="3" t="s">
        <v>25</v>
      </c>
      <c r="W16" s="7" t="s">
        <v>27</v>
      </c>
      <c r="X16" s="3" t="s">
        <v>23</v>
      </c>
      <c r="Y16" s="3" t="s">
        <v>25</v>
      </c>
      <c r="Z16" s="3">
        <v>9.15</v>
      </c>
      <c r="AA16" s="3">
        <v>-64.099999999999994</v>
      </c>
    </row>
    <row r="17" spans="1:27" x14ac:dyDescent="0.3">
      <c r="A17" s="3">
        <v>16</v>
      </c>
      <c r="B17" s="3" t="s">
        <v>45</v>
      </c>
      <c r="C17" s="3" t="s">
        <v>104</v>
      </c>
      <c r="D17" s="3" t="s">
        <v>119</v>
      </c>
      <c r="E17" s="3" t="s">
        <v>119</v>
      </c>
      <c r="F17" s="4">
        <v>47.030866000000003</v>
      </c>
      <c r="G17" s="4">
        <v>82.299622999999997</v>
      </c>
      <c r="H17" s="5">
        <f t="shared" si="0"/>
        <v>61.220456172413797</v>
      </c>
      <c r="I17" s="4">
        <v>0</v>
      </c>
      <c r="J17" s="4">
        <v>38.054378999999997</v>
      </c>
      <c r="K17" s="4">
        <v>36.496575999999997</v>
      </c>
      <c r="L17" s="6">
        <f t="shared" si="1"/>
        <v>1749.9066038886035</v>
      </c>
      <c r="M17" s="3">
        <v>40</v>
      </c>
      <c r="N17" s="3">
        <v>0</v>
      </c>
      <c r="O17" s="3">
        <v>69</v>
      </c>
      <c r="P17" s="4">
        <v>18.595967741935485</v>
      </c>
      <c r="Q17" s="4">
        <v>0.79662686567164054</v>
      </c>
      <c r="R17" s="4">
        <v>905.45094339622642</v>
      </c>
      <c r="S17" s="4">
        <v>4932.940298507463</v>
      </c>
      <c r="T17" s="3">
        <v>0.25274001699235343</v>
      </c>
      <c r="U17" s="3" t="s">
        <v>142</v>
      </c>
      <c r="V17" s="3" t="s">
        <v>23</v>
      </c>
      <c r="W17" s="7" t="s">
        <v>27</v>
      </c>
      <c r="X17" s="3" t="s">
        <v>23</v>
      </c>
      <c r="Y17" s="3" t="s">
        <v>25</v>
      </c>
      <c r="Z17" s="3">
        <v>9.15</v>
      </c>
      <c r="AA17" s="3">
        <v>-64.099999999999994</v>
      </c>
    </row>
    <row r="18" spans="1:27" x14ac:dyDescent="0.3">
      <c r="A18" s="3">
        <v>17</v>
      </c>
      <c r="B18" s="3" t="s">
        <v>46</v>
      </c>
      <c r="C18" s="3" t="s">
        <v>47</v>
      </c>
      <c r="D18" s="3" t="s">
        <v>145</v>
      </c>
      <c r="E18" s="11" t="s">
        <v>96</v>
      </c>
      <c r="F18" s="4">
        <v>111.22702200000001</v>
      </c>
      <c r="G18" s="4">
        <v>428.63030800000001</v>
      </c>
      <c r="H18" s="5">
        <f t="shared" si="0"/>
        <v>185.12879924137934</v>
      </c>
      <c r="I18" s="4">
        <v>107.515799</v>
      </c>
      <c r="J18" s="4">
        <v>306.04536999999999</v>
      </c>
      <c r="K18" s="4">
        <v>362.057186</v>
      </c>
      <c r="L18" s="6">
        <f t="shared" si="1"/>
        <v>3853.6526492635935</v>
      </c>
      <c r="M18" s="3">
        <v>287</v>
      </c>
      <c r="N18" s="3">
        <v>499</v>
      </c>
      <c r="O18" s="3">
        <v>97</v>
      </c>
      <c r="P18" s="4">
        <v>23.743229166666666</v>
      </c>
      <c r="Q18" s="4">
        <v>0.8056275510204064</v>
      </c>
      <c r="R18" s="4">
        <v>607.07653061224494</v>
      </c>
      <c r="S18" s="4">
        <v>5617.3622448979595</v>
      </c>
      <c r="T18" s="3">
        <v>0.52231934940708635</v>
      </c>
      <c r="U18" s="3" t="s">
        <v>142</v>
      </c>
      <c r="V18" s="3" t="s">
        <v>23</v>
      </c>
      <c r="W18" s="7" t="s">
        <v>24</v>
      </c>
      <c r="X18" s="3" t="s">
        <v>23</v>
      </c>
      <c r="Y18" s="3" t="s">
        <v>25</v>
      </c>
      <c r="Z18" s="3">
        <v>8.9499999999999993</v>
      </c>
      <c r="AA18" s="3">
        <v>-63.95</v>
      </c>
    </row>
    <row r="19" spans="1:27" x14ac:dyDescent="0.3">
      <c r="A19" s="3">
        <v>18</v>
      </c>
      <c r="B19" s="3" t="s">
        <v>48</v>
      </c>
      <c r="C19" s="3" t="s">
        <v>47</v>
      </c>
      <c r="D19" s="3" t="s">
        <v>145</v>
      </c>
      <c r="E19" s="11" t="s">
        <v>96</v>
      </c>
      <c r="F19" s="4">
        <v>111.09813800000001</v>
      </c>
      <c r="G19" s="4">
        <v>297.39294100000001</v>
      </c>
      <c r="H19" s="5">
        <f t="shared" si="0"/>
        <v>162.372783</v>
      </c>
      <c r="I19" s="4">
        <v>0</v>
      </c>
      <c r="J19" s="4">
        <v>88.700976999999995</v>
      </c>
      <c r="K19" s="4">
        <v>130.892245</v>
      </c>
      <c r="L19" s="6">
        <f t="shared" si="1"/>
        <v>2676.8490125370054</v>
      </c>
      <c r="M19" s="3">
        <v>443</v>
      </c>
      <c r="N19" s="3">
        <v>1583</v>
      </c>
      <c r="O19" s="3">
        <v>68</v>
      </c>
      <c r="P19" s="4">
        <v>26.38033707865171</v>
      </c>
      <c r="Q19" s="4">
        <v>0.81800793650793602</v>
      </c>
      <c r="R19" s="4">
        <v>463.98148148148147</v>
      </c>
      <c r="S19" s="4">
        <v>4993.9122340425529</v>
      </c>
      <c r="T19" s="3">
        <v>0.83619521215004444</v>
      </c>
      <c r="U19" s="3" t="s">
        <v>142</v>
      </c>
      <c r="V19" s="3" t="s">
        <v>23</v>
      </c>
      <c r="W19" s="7" t="s">
        <v>24</v>
      </c>
      <c r="X19" s="3" t="s">
        <v>23</v>
      </c>
      <c r="Y19" s="3" t="s">
        <v>25</v>
      </c>
      <c r="Z19" s="3">
        <v>9.08</v>
      </c>
      <c r="AA19" s="3">
        <v>-64.28</v>
      </c>
    </row>
    <row r="20" spans="1:27" x14ac:dyDescent="0.3">
      <c r="A20" s="3">
        <v>19</v>
      </c>
      <c r="B20" s="3" t="s">
        <v>49</v>
      </c>
      <c r="C20" s="3" t="s">
        <v>47</v>
      </c>
      <c r="D20" s="3" t="s">
        <v>145</v>
      </c>
      <c r="E20" s="11" t="s">
        <v>96</v>
      </c>
      <c r="F20" s="4">
        <v>77.289615999999995</v>
      </c>
      <c r="G20" s="4">
        <v>254.08098100000001</v>
      </c>
      <c r="H20" s="5">
        <f t="shared" si="0"/>
        <v>121.09668168965517</v>
      </c>
      <c r="I20" s="4">
        <v>106.268441</v>
      </c>
      <c r="J20" s="4">
        <v>63.182974999999999</v>
      </c>
      <c r="K20" s="4">
        <v>65.549974000000006</v>
      </c>
      <c r="L20" s="6">
        <f t="shared" si="1"/>
        <v>3287.3883213496624</v>
      </c>
      <c r="M20" s="3">
        <v>200</v>
      </c>
      <c r="N20" s="3">
        <v>0</v>
      </c>
      <c r="O20" s="3">
        <v>42</v>
      </c>
      <c r="P20" s="4">
        <v>23.021874999999994</v>
      </c>
      <c r="Q20" s="4">
        <v>0.83478350515463873</v>
      </c>
      <c r="R20" s="4">
        <v>444.21649484536084</v>
      </c>
      <c r="S20" s="4">
        <v>6113.8144329896904</v>
      </c>
      <c r="T20" s="3">
        <v>0.56263019654016844</v>
      </c>
      <c r="U20" s="3" t="s">
        <v>142</v>
      </c>
      <c r="V20" s="3" t="s">
        <v>23</v>
      </c>
      <c r="W20" s="7" t="s">
        <v>37</v>
      </c>
      <c r="X20" s="3" t="s">
        <v>23</v>
      </c>
      <c r="Y20" s="3" t="s">
        <v>25</v>
      </c>
      <c r="Z20" s="3">
        <v>9.08</v>
      </c>
      <c r="AA20" s="3">
        <v>-64.28</v>
      </c>
    </row>
    <row r="21" spans="1:27" x14ac:dyDescent="0.3">
      <c r="A21" s="3">
        <v>20</v>
      </c>
      <c r="B21" s="3" t="s">
        <v>50</v>
      </c>
      <c r="C21" s="3" t="s">
        <v>47</v>
      </c>
      <c r="D21" s="3" t="s">
        <v>145</v>
      </c>
      <c r="E21" s="11" t="s">
        <v>96</v>
      </c>
      <c r="F21" s="4">
        <v>55.626013</v>
      </c>
      <c r="G21" s="4">
        <v>148.40115800000001</v>
      </c>
      <c r="H21" s="5">
        <f t="shared" si="0"/>
        <v>81.212419551724139</v>
      </c>
      <c r="I21" s="4">
        <v>8.77</v>
      </c>
      <c r="J21" s="4">
        <v>46.611607999999997</v>
      </c>
      <c r="K21" s="4">
        <v>54.394092999999998</v>
      </c>
      <c r="L21" s="6">
        <f t="shared" si="1"/>
        <v>2667.8374019004382</v>
      </c>
      <c r="M21" s="3">
        <v>213</v>
      </c>
      <c r="N21" s="3">
        <v>206</v>
      </c>
      <c r="O21" s="3">
        <v>44</v>
      </c>
      <c r="P21" s="4">
        <v>28.005072463768109</v>
      </c>
      <c r="Q21" s="4">
        <v>0.7343617021276585</v>
      </c>
      <c r="R21" s="4">
        <v>382.65957446808511</v>
      </c>
      <c r="S21" s="4">
        <v>5627.4428571428571</v>
      </c>
      <c r="T21" s="3">
        <v>0.77478025814074225</v>
      </c>
      <c r="U21" s="3" t="s">
        <v>142</v>
      </c>
      <c r="V21" s="3" t="s">
        <v>23</v>
      </c>
      <c r="W21" s="7" t="s">
        <v>29</v>
      </c>
      <c r="X21" s="3" t="s">
        <v>23</v>
      </c>
      <c r="Y21" s="3" t="s">
        <v>25</v>
      </c>
      <c r="Z21" s="3">
        <v>9.1</v>
      </c>
      <c r="AA21" s="3">
        <v>-64.3</v>
      </c>
    </row>
    <row r="22" spans="1:27" x14ac:dyDescent="0.3">
      <c r="A22" s="3">
        <v>21</v>
      </c>
      <c r="B22" s="3" t="s">
        <v>51</v>
      </c>
      <c r="C22" s="3" t="s">
        <v>47</v>
      </c>
      <c r="D22" s="3" t="s">
        <v>145</v>
      </c>
      <c r="E22" s="11" t="s">
        <v>96</v>
      </c>
      <c r="F22" s="4">
        <v>27.905434</v>
      </c>
      <c r="G22" s="4">
        <v>82.639764999999997</v>
      </c>
      <c r="H22" s="5">
        <f t="shared" si="0"/>
        <v>42.153669344827584</v>
      </c>
      <c r="I22" s="4">
        <v>0</v>
      </c>
      <c r="J22" s="4">
        <v>23.739502000000002</v>
      </c>
      <c r="K22" s="4">
        <v>11.009304</v>
      </c>
      <c r="L22" s="6">
        <f t="shared" si="1"/>
        <v>2961.4219581748844</v>
      </c>
      <c r="M22" s="3">
        <v>0</v>
      </c>
      <c r="N22" s="3">
        <v>0</v>
      </c>
      <c r="O22" s="3">
        <v>16</v>
      </c>
      <c r="P22" s="4">
        <v>20.085185185185182</v>
      </c>
      <c r="Q22" s="4">
        <v>0.84623170731707353</v>
      </c>
      <c r="R22" s="4">
        <v>433.1219512195122</v>
      </c>
      <c r="S22" s="4">
        <v>4976.6585365853662</v>
      </c>
      <c r="T22" s="3">
        <v>0.45198165269117752</v>
      </c>
      <c r="U22" s="3" t="s">
        <v>142</v>
      </c>
      <c r="V22" s="3" t="s">
        <v>25</v>
      </c>
      <c r="W22" s="7" t="s">
        <v>37</v>
      </c>
      <c r="X22" s="3" t="s">
        <v>23</v>
      </c>
      <c r="Y22" s="3" t="s">
        <v>25</v>
      </c>
      <c r="Z22" s="3">
        <v>9.08</v>
      </c>
      <c r="AA22" s="3">
        <v>-64.28</v>
      </c>
    </row>
    <row r="23" spans="1:27" x14ac:dyDescent="0.3">
      <c r="A23" s="3">
        <v>22</v>
      </c>
      <c r="B23" s="3" t="s">
        <v>52</v>
      </c>
      <c r="C23" s="3" t="s">
        <v>47</v>
      </c>
      <c r="D23" s="3" t="s">
        <v>145</v>
      </c>
      <c r="E23" s="11" t="s">
        <v>96</v>
      </c>
      <c r="F23" s="4">
        <v>24.559099</v>
      </c>
      <c r="G23" s="4">
        <v>45.806257000000002</v>
      </c>
      <c r="H23" s="5">
        <f t="shared" si="0"/>
        <v>32.456729517241378</v>
      </c>
      <c r="I23" s="4">
        <v>0</v>
      </c>
      <c r="J23" s="4">
        <v>10.362484</v>
      </c>
      <c r="K23" s="4">
        <v>11.375711000000001</v>
      </c>
      <c r="L23" s="6">
        <f t="shared" si="1"/>
        <v>1865.1440348035571</v>
      </c>
      <c r="M23" s="3">
        <v>80</v>
      </c>
      <c r="N23" s="3">
        <v>0</v>
      </c>
      <c r="O23" s="3">
        <v>11</v>
      </c>
      <c r="P23" s="4">
        <v>30.161904761904761</v>
      </c>
      <c r="Q23" s="4">
        <v>0.73771428571428588</v>
      </c>
      <c r="R23" s="4">
        <v>443.92857142857144</v>
      </c>
      <c r="S23" s="4">
        <v>4925.833333333333</v>
      </c>
      <c r="T23" s="3">
        <v>0.90873580990356839</v>
      </c>
      <c r="U23" s="3" t="s">
        <v>142</v>
      </c>
      <c r="V23" s="3" t="s">
        <v>25</v>
      </c>
      <c r="W23" s="7" t="s">
        <v>27</v>
      </c>
      <c r="X23" s="3" t="s">
        <v>23</v>
      </c>
      <c r="Y23" s="3" t="s">
        <v>25</v>
      </c>
      <c r="Z23" s="3">
        <v>9.1</v>
      </c>
      <c r="AA23" s="3">
        <v>-64.3</v>
      </c>
    </row>
    <row r="24" spans="1:27" x14ac:dyDescent="0.3">
      <c r="A24" s="3">
        <v>23</v>
      </c>
      <c r="B24" s="3" t="s">
        <v>53</v>
      </c>
      <c r="C24" s="3" t="s">
        <v>47</v>
      </c>
      <c r="D24" s="3" t="s">
        <v>145</v>
      </c>
      <c r="E24" s="11" t="s">
        <v>96</v>
      </c>
      <c r="F24" s="4">
        <v>20.454093</v>
      </c>
      <c r="G24" s="4">
        <v>53.929721999999998</v>
      </c>
      <c r="H24" s="5">
        <f t="shared" si="0"/>
        <v>29.752320931034482</v>
      </c>
      <c r="I24" s="4">
        <v>0</v>
      </c>
      <c r="J24" s="4">
        <v>19.878588000000001</v>
      </c>
      <c r="K24" s="4">
        <v>18.282416999999999</v>
      </c>
      <c r="L24" s="6">
        <f t="shared" si="1"/>
        <v>2636.6225087565604</v>
      </c>
      <c r="M24" s="3">
        <v>0</v>
      </c>
      <c r="N24" s="3">
        <v>0</v>
      </c>
      <c r="O24" s="3">
        <v>14</v>
      </c>
      <c r="P24" s="4">
        <v>20.3</v>
      </c>
      <c r="Q24" s="4">
        <v>0.82111320754716943</v>
      </c>
      <c r="R24" s="4">
        <v>328.35849056603774</v>
      </c>
      <c r="S24" s="4">
        <v>5482.7264150943392</v>
      </c>
      <c r="T24" s="3">
        <v>0.45434559577898287</v>
      </c>
      <c r="U24" s="3" t="s">
        <v>142</v>
      </c>
      <c r="V24" s="3" t="s">
        <v>25</v>
      </c>
      <c r="W24" s="7" t="s">
        <v>37</v>
      </c>
      <c r="X24" s="3" t="s">
        <v>23</v>
      </c>
      <c r="Y24" s="3" t="s">
        <v>25</v>
      </c>
      <c r="Z24" s="3">
        <v>8.9499999999999993</v>
      </c>
      <c r="AA24" s="3">
        <v>-63.95</v>
      </c>
    </row>
    <row r="25" spans="1:27" x14ac:dyDescent="0.3">
      <c r="A25" s="3">
        <v>24</v>
      </c>
      <c r="B25" s="3" t="s">
        <v>54</v>
      </c>
      <c r="C25" s="3" t="s">
        <v>47</v>
      </c>
      <c r="D25" s="3" t="s">
        <v>145</v>
      </c>
      <c r="E25" s="11" t="s">
        <v>96</v>
      </c>
      <c r="F25" s="4">
        <v>15.754101</v>
      </c>
      <c r="G25" s="4">
        <v>44.351042999999997</v>
      </c>
      <c r="H25" s="5">
        <f t="shared" si="0"/>
        <v>23.400832551724136</v>
      </c>
      <c r="I25" s="4">
        <v>0</v>
      </c>
      <c r="J25" s="4">
        <v>8.7163140000000006</v>
      </c>
      <c r="K25" s="4">
        <v>13.77913</v>
      </c>
      <c r="L25" s="6">
        <f t="shared" si="1"/>
        <v>2815.2062120206033</v>
      </c>
      <c r="M25" s="3">
        <v>0</v>
      </c>
      <c r="N25" s="3">
        <v>0</v>
      </c>
      <c r="O25" s="3">
        <v>10</v>
      </c>
      <c r="P25" s="4">
        <v>30.237313432835816</v>
      </c>
      <c r="Q25" s="4">
        <v>0.74700000000000033</v>
      </c>
      <c r="R25" s="4">
        <v>310.56716417910445</v>
      </c>
      <c r="S25" s="4">
        <v>5347.4626865671644</v>
      </c>
      <c r="T25" s="3">
        <v>0.9467005076142132</v>
      </c>
      <c r="U25" s="3" t="s">
        <v>142</v>
      </c>
      <c r="V25" s="3" t="s">
        <v>25</v>
      </c>
      <c r="W25" s="7" t="s">
        <v>37</v>
      </c>
      <c r="X25" s="3" t="s">
        <v>23</v>
      </c>
      <c r="Y25" s="3" t="s">
        <v>25</v>
      </c>
      <c r="Z25" s="3">
        <v>9.1</v>
      </c>
      <c r="AA25" s="3">
        <v>-64.3</v>
      </c>
    </row>
    <row r="26" spans="1:27" x14ac:dyDescent="0.3">
      <c r="A26" s="3">
        <v>25</v>
      </c>
      <c r="B26" s="3" t="s">
        <v>55</v>
      </c>
      <c r="C26" s="3" t="s">
        <v>47</v>
      </c>
      <c r="D26" s="3" t="s">
        <v>145</v>
      </c>
      <c r="E26" s="11" t="s">
        <v>96</v>
      </c>
      <c r="F26" s="4">
        <v>2.1039979999999998</v>
      </c>
      <c r="G26" s="4">
        <v>7.8335679999999996</v>
      </c>
      <c r="H26" s="5">
        <f t="shared" si="0"/>
        <v>3.4546131724137927</v>
      </c>
      <c r="I26" s="4">
        <v>0</v>
      </c>
      <c r="J26" s="4">
        <v>0.97184599999999999</v>
      </c>
      <c r="K26" s="4">
        <v>0.24107300000000001</v>
      </c>
      <c r="L26" s="6">
        <f t="shared" si="1"/>
        <v>3723.1822463709568</v>
      </c>
      <c r="M26" s="3">
        <v>50</v>
      </c>
      <c r="N26" s="3">
        <v>0</v>
      </c>
      <c r="O26" s="3">
        <v>3</v>
      </c>
      <c r="P26" s="4">
        <v>22.987500000000001</v>
      </c>
      <c r="Q26" s="4">
        <v>0.70377777777777784</v>
      </c>
      <c r="R26" s="4">
        <v>607</v>
      </c>
      <c r="S26" s="4">
        <v>4880.2222222222226</v>
      </c>
      <c r="T26" s="3">
        <v>0.55768271032242756</v>
      </c>
      <c r="U26" s="3" t="s">
        <v>142</v>
      </c>
      <c r="V26" s="3" t="s">
        <v>25</v>
      </c>
      <c r="W26" s="7" t="s">
        <v>37</v>
      </c>
      <c r="X26" s="3" t="s">
        <v>23</v>
      </c>
      <c r="Y26" s="3" t="s">
        <v>25</v>
      </c>
      <c r="Z26" s="3">
        <v>8.9499999999999993</v>
      </c>
      <c r="AA26" s="3">
        <v>-63.95</v>
      </c>
    </row>
    <row r="27" spans="1:27" x14ac:dyDescent="0.3">
      <c r="A27" s="3">
        <v>26</v>
      </c>
      <c r="B27" s="3" t="s">
        <v>56</v>
      </c>
      <c r="C27" s="3" t="s">
        <v>57</v>
      </c>
      <c r="D27" s="3" t="s">
        <v>145</v>
      </c>
      <c r="E27" s="3" t="s">
        <v>95</v>
      </c>
      <c r="F27" s="4">
        <v>169.58330699999999</v>
      </c>
      <c r="G27" s="4">
        <v>668.91934500000002</v>
      </c>
      <c r="H27" s="5">
        <f t="shared" si="0"/>
        <v>284.91422855172414</v>
      </c>
      <c r="I27" s="4">
        <v>158.23451700000001</v>
      </c>
      <c r="J27" s="4">
        <v>136.14729</v>
      </c>
      <c r="K27" s="4">
        <v>263.74223000000001</v>
      </c>
      <c r="L27" s="6">
        <f t="shared" si="1"/>
        <v>3944.4881505937374</v>
      </c>
      <c r="M27" s="3">
        <v>777</v>
      </c>
      <c r="N27" s="3">
        <v>1902</v>
      </c>
      <c r="O27" s="3">
        <v>103</v>
      </c>
      <c r="P27" s="4">
        <v>26.495061728395058</v>
      </c>
      <c r="Q27" s="4">
        <v>0.82220703124999872</v>
      </c>
      <c r="R27" s="4">
        <v>318.294921875</v>
      </c>
      <c r="S27" s="4">
        <v>8603.5217391304341</v>
      </c>
      <c r="T27" s="3">
        <v>0.71418252290345319</v>
      </c>
      <c r="U27" s="3" t="s">
        <v>142</v>
      </c>
      <c r="V27" s="3" t="s">
        <v>23</v>
      </c>
      <c r="W27" s="7" t="s">
        <v>29</v>
      </c>
      <c r="X27" s="3" t="s">
        <v>23</v>
      </c>
      <c r="Y27" s="3" t="s">
        <v>25</v>
      </c>
      <c r="Z27" s="3">
        <v>8.75</v>
      </c>
      <c r="AA27" s="3">
        <v>-64.150000000000006</v>
      </c>
    </row>
    <row r="28" spans="1:27" x14ac:dyDescent="0.3">
      <c r="A28" s="3">
        <v>27</v>
      </c>
      <c r="B28" s="3" t="s">
        <v>58</v>
      </c>
      <c r="C28" s="3" t="s">
        <v>57</v>
      </c>
      <c r="D28" s="3" t="s">
        <v>145</v>
      </c>
      <c r="E28" s="3" t="s">
        <v>95</v>
      </c>
      <c r="F28" s="4">
        <v>134.87484900000001</v>
      </c>
      <c r="G28" s="4">
        <v>712.77552000000003</v>
      </c>
      <c r="H28" s="5">
        <f t="shared" si="0"/>
        <v>257.76718003448275</v>
      </c>
      <c r="I28" s="4">
        <v>69.868865999999997</v>
      </c>
      <c r="J28" s="4">
        <v>173.14915500000001</v>
      </c>
      <c r="K28" s="4">
        <v>387.159043</v>
      </c>
      <c r="L28" s="6">
        <f t="shared" si="1"/>
        <v>5284.717834976037</v>
      </c>
      <c r="M28" s="3">
        <v>100</v>
      </c>
      <c r="N28" s="3">
        <v>0</v>
      </c>
      <c r="O28" s="3">
        <v>87</v>
      </c>
      <c r="P28" s="4">
        <v>29.302040816326514</v>
      </c>
      <c r="Q28" s="4">
        <v>0.80274007220216914</v>
      </c>
      <c r="R28" s="4">
        <v>344.10583941605842</v>
      </c>
      <c r="S28" s="4">
        <v>7162.8014440433217</v>
      </c>
      <c r="T28" s="3">
        <v>0.85790868837650125</v>
      </c>
      <c r="U28" s="3" t="s">
        <v>142</v>
      </c>
      <c r="V28" s="3" t="s">
        <v>23</v>
      </c>
      <c r="W28" s="7" t="s">
        <v>29</v>
      </c>
      <c r="X28" s="3" t="s">
        <v>23</v>
      </c>
      <c r="Y28" s="3" t="s">
        <v>25</v>
      </c>
      <c r="Z28" s="3">
        <v>9.18</v>
      </c>
      <c r="AA28" s="3">
        <v>-64.22</v>
      </c>
    </row>
    <row r="29" spans="1:27" x14ac:dyDescent="0.3">
      <c r="A29" s="3">
        <v>28</v>
      </c>
      <c r="B29" s="3" t="s">
        <v>59</v>
      </c>
      <c r="C29" s="3" t="s">
        <v>57</v>
      </c>
      <c r="D29" s="3" t="s">
        <v>145</v>
      </c>
      <c r="E29" s="3" t="s">
        <v>95</v>
      </c>
      <c r="F29" s="4">
        <v>52.718142</v>
      </c>
      <c r="G29" s="4">
        <v>255.087638</v>
      </c>
      <c r="H29" s="5">
        <f t="shared" si="0"/>
        <v>96.69876924137931</v>
      </c>
      <c r="I29" s="4">
        <v>255.95283000000001</v>
      </c>
      <c r="J29" s="4">
        <v>69.159873000000005</v>
      </c>
      <c r="K29" s="4">
        <v>214.85256100000001</v>
      </c>
      <c r="L29" s="6">
        <f t="shared" si="1"/>
        <v>4838.7069104218435</v>
      </c>
      <c r="M29" s="3">
        <v>646</v>
      </c>
      <c r="N29" s="3">
        <v>3007</v>
      </c>
      <c r="O29" s="3">
        <v>26</v>
      </c>
      <c r="P29" s="4">
        <v>27.873333333333331</v>
      </c>
      <c r="Q29" s="4">
        <v>0.81644444444444431</v>
      </c>
      <c r="R29" s="4">
        <v>517.1875</v>
      </c>
      <c r="S29" s="4">
        <v>7930.7777777777774</v>
      </c>
      <c r="T29" s="3">
        <v>0.9903673499925183</v>
      </c>
      <c r="U29" s="3" t="s">
        <v>142</v>
      </c>
      <c r="V29" s="3" t="s">
        <v>23</v>
      </c>
      <c r="W29" s="7" t="s">
        <v>27</v>
      </c>
      <c r="X29" s="3" t="s">
        <v>23</v>
      </c>
      <c r="Y29" s="3" t="s">
        <v>25</v>
      </c>
      <c r="Z29" s="3">
        <v>9.18</v>
      </c>
      <c r="AA29" s="3">
        <v>-64.22</v>
      </c>
    </row>
    <row r="30" spans="1:27" x14ac:dyDescent="0.3">
      <c r="A30" s="3">
        <v>29</v>
      </c>
      <c r="B30" s="3" t="s">
        <v>60</v>
      </c>
      <c r="C30" s="3" t="s">
        <v>57</v>
      </c>
      <c r="D30" s="3" t="s">
        <v>145</v>
      </c>
      <c r="E30" s="3" t="s">
        <v>95</v>
      </c>
      <c r="F30" s="4">
        <v>48.965595999999998</v>
      </c>
      <c r="G30" s="4">
        <v>169.340453</v>
      </c>
      <c r="H30" s="5">
        <f t="shared" si="0"/>
        <v>78.162225827586212</v>
      </c>
      <c r="I30" s="4">
        <v>0</v>
      </c>
      <c r="J30" s="4">
        <v>13.498239999999999</v>
      </c>
      <c r="K30" s="4">
        <v>45.166919</v>
      </c>
      <c r="L30" s="6">
        <f t="shared" si="1"/>
        <v>3458.355801489683</v>
      </c>
      <c r="M30" s="3">
        <v>0</v>
      </c>
      <c r="N30" s="3">
        <v>0</v>
      </c>
      <c r="O30" s="3">
        <v>23</v>
      </c>
      <c r="P30" s="4">
        <v>31.683333333333337</v>
      </c>
      <c r="Q30" s="4">
        <v>0.8042651515151511</v>
      </c>
      <c r="R30" s="4">
        <v>184.35606060606059</v>
      </c>
      <c r="S30" s="4">
        <v>6967.765151515152</v>
      </c>
      <c r="T30" s="3">
        <v>0.8633253681351224</v>
      </c>
      <c r="U30" s="3" t="s">
        <v>142</v>
      </c>
      <c r="V30" s="3" t="s">
        <v>25</v>
      </c>
      <c r="W30" s="7" t="s">
        <v>27</v>
      </c>
      <c r="X30" s="3" t="s">
        <v>23</v>
      </c>
      <c r="Y30" s="3" t="s">
        <v>25</v>
      </c>
      <c r="Z30" s="3">
        <v>9.18</v>
      </c>
      <c r="AA30" s="3">
        <v>-64.22</v>
      </c>
    </row>
    <row r="31" spans="1:27" x14ac:dyDescent="0.3">
      <c r="A31" s="3">
        <v>30</v>
      </c>
      <c r="B31" s="3" t="s">
        <v>61</v>
      </c>
      <c r="C31" s="3" t="s">
        <v>57</v>
      </c>
      <c r="D31" s="3" t="s">
        <v>145</v>
      </c>
      <c r="E31" s="3" t="s">
        <v>95</v>
      </c>
      <c r="F31" s="4">
        <v>34.681271000000002</v>
      </c>
      <c r="G31" s="4">
        <v>106.128713</v>
      </c>
      <c r="H31" s="5">
        <f t="shared" si="0"/>
        <v>52.97932496551725</v>
      </c>
      <c r="I31" s="4">
        <v>0</v>
      </c>
      <c r="J31" s="4">
        <v>32.825952000000001</v>
      </c>
      <c r="K31" s="4">
        <v>71.527404000000004</v>
      </c>
      <c r="L31" s="6">
        <f t="shared" si="1"/>
        <v>3060.1160205460751</v>
      </c>
      <c r="M31" s="3">
        <v>90</v>
      </c>
      <c r="N31" s="3">
        <v>48</v>
      </c>
      <c r="O31" s="3">
        <v>26</v>
      </c>
      <c r="P31" s="4">
        <v>27.818181818181813</v>
      </c>
      <c r="Q31" s="4">
        <v>0.8136172839506165</v>
      </c>
      <c r="R31" s="4">
        <v>233.67283950617283</v>
      </c>
      <c r="S31" s="4">
        <v>6648.6790123456794</v>
      </c>
      <c r="T31" s="3">
        <v>0.59693921664697236</v>
      </c>
      <c r="U31" s="3" t="s">
        <v>142</v>
      </c>
      <c r="V31" s="3" t="s">
        <v>23</v>
      </c>
      <c r="W31" s="7" t="s">
        <v>37</v>
      </c>
      <c r="X31" s="3" t="s">
        <v>23</v>
      </c>
      <c r="Y31" s="3" t="s">
        <v>25</v>
      </c>
      <c r="Z31" s="3">
        <v>9.18</v>
      </c>
      <c r="AA31" s="3">
        <v>-64.22</v>
      </c>
    </row>
    <row r="32" spans="1:27" x14ac:dyDescent="0.3">
      <c r="A32" s="3">
        <v>31</v>
      </c>
      <c r="B32" s="3" t="s">
        <v>62</v>
      </c>
      <c r="C32" s="3" t="s">
        <v>57</v>
      </c>
      <c r="D32" s="3" t="s">
        <v>145</v>
      </c>
      <c r="E32" s="3" t="s">
        <v>95</v>
      </c>
      <c r="F32" s="4">
        <v>27.097393</v>
      </c>
      <c r="G32" s="4">
        <v>173.42408699999999</v>
      </c>
      <c r="H32" s="5">
        <f t="shared" si="0"/>
        <v>56.998097655172415</v>
      </c>
      <c r="I32" s="4">
        <v>63.984999999999999</v>
      </c>
      <c r="J32" s="4">
        <v>30.860513000000001</v>
      </c>
      <c r="K32" s="4">
        <v>69.923783</v>
      </c>
      <c r="L32" s="6">
        <f t="shared" si="1"/>
        <v>6400.0284824447872</v>
      </c>
      <c r="M32" s="3">
        <v>50</v>
      </c>
      <c r="N32" s="3">
        <v>0</v>
      </c>
      <c r="O32" s="3">
        <v>29</v>
      </c>
      <c r="P32" s="4">
        <v>23.131372549019609</v>
      </c>
      <c r="Q32" s="4">
        <v>0.78927777777777786</v>
      </c>
      <c r="R32" s="4">
        <v>5002.541666666667</v>
      </c>
      <c r="S32" s="4">
        <v>7705.2830188679245</v>
      </c>
      <c r="T32" s="3">
        <v>0.68122947492712449</v>
      </c>
      <c r="U32" s="3" t="s">
        <v>142</v>
      </c>
      <c r="V32" s="3" t="s">
        <v>23</v>
      </c>
      <c r="W32" s="7" t="s">
        <v>27</v>
      </c>
      <c r="X32" s="3" t="s">
        <v>23</v>
      </c>
      <c r="Y32" s="3" t="s">
        <v>25</v>
      </c>
      <c r="Z32" s="3">
        <v>8.75</v>
      </c>
      <c r="AA32" s="3">
        <v>-64.150000000000006</v>
      </c>
    </row>
    <row r="33" spans="1:27" x14ac:dyDescent="0.3">
      <c r="A33" s="3">
        <v>32</v>
      </c>
      <c r="B33" s="3" t="s">
        <v>63</v>
      </c>
      <c r="C33" s="3" t="s">
        <v>57</v>
      </c>
      <c r="D33" s="3" t="s">
        <v>145</v>
      </c>
      <c r="E33" s="3" t="s">
        <v>95</v>
      </c>
      <c r="F33" s="4">
        <v>2.1433499999999999</v>
      </c>
      <c r="G33" s="4">
        <v>5.4179750000000002</v>
      </c>
      <c r="H33" s="5">
        <f t="shared" si="0"/>
        <v>3.0774836206896552</v>
      </c>
      <c r="I33" s="4">
        <v>0</v>
      </c>
      <c r="J33" s="4">
        <v>0.76465000000000005</v>
      </c>
      <c r="K33" s="4">
        <v>1.9000250000000001</v>
      </c>
      <c r="L33" s="6">
        <f t="shared" si="1"/>
        <v>2527.8069377376542</v>
      </c>
      <c r="M33" s="3">
        <v>0</v>
      </c>
      <c r="N33" s="3">
        <v>0</v>
      </c>
      <c r="O33" s="3">
        <v>2</v>
      </c>
      <c r="P33" s="4">
        <v>26.57</v>
      </c>
      <c r="Q33" s="4">
        <v>0.83349999999999991</v>
      </c>
      <c r="R33" s="4">
        <v>18864.444444444445</v>
      </c>
      <c r="S33" s="4">
        <v>6243.5</v>
      </c>
      <c r="T33" s="3">
        <v>0.57276119402985071</v>
      </c>
      <c r="U33" s="3" t="s">
        <v>142</v>
      </c>
      <c r="V33" s="3" t="s">
        <v>25</v>
      </c>
      <c r="W33" s="7" t="s">
        <v>37</v>
      </c>
      <c r="X33" s="3" t="s">
        <v>23</v>
      </c>
      <c r="Y33" s="3" t="s">
        <v>25</v>
      </c>
      <c r="Z33" s="3">
        <v>8.75</v>
      </c>
      <c r="AA33" s="3">
        <v>-64.150000000000006</v>
      </c>
    </row>
    <row r="34" spans="1:27" x14ac:dyDescent="0.3">
      <c r="A34" s="3">
        <v>33</v>
      </c>
      <c r="B34" s="3" t="s">
        <v>64</v>
      </c>
      <c r="C34" s="3" t="s">
        <v>65</v>
      </c>
      <c r="D34" s="3" t="s">
        <v>119</v>
      </c>
      <c r="E34" s="3" t="s">
        <v>119</v>
      </c>
      <c r="F34" s="4">
        <v>79.582065</v>
      </c>
      <c r="G34" s="4">
        <v>405.45576</v>
      </c>
      <c r="H34" s="5">
        <f t="shared" ref="H34:H61" si="2">F34+(G34/5.8)</f>
        <v>149.48823051724139</v>
      </c>
      <c r="I34" s="4">
        <v>416.90223800000001</v>
      </c>
      <c r="J34" s="4">
        <v>281.752387</v>
      </c>
      <c r="K34" s="4">
        <v>358.48804799999999</v>
      </c>
      <c r="L34" s="6">
        <f t="shared" ref="L34:L61" si="3">G34*1000/F34</f>
        <v>5094.8132597464019</v>
      </c>
      <c r="M34" s="3">
        <v>0</v>
      </c>
      <c r="N34" s="3">
        <v>0</v>
      </c>
      <c r="O34" s="3">
        <v>109</v>
      </c>
      <c r="P34" s="4">
        <v>14.978212290502796</v>
      </c>
      <c r="Q34" s="4">
        <v>0.69165420560747737</v>
      </c>
      <c r="R34" s="4">
        <v>1540.7502793296089</v>
      </c>
      <c r="S34" s="4">
        <v>3407.0747663551401</v>
      </c>
      <c r="T34" s="3">
        <v>1.2626514433863489E-2</v>
      </c>
      <c r="U34" s="3" t="s">
        <v>142</v>
      </c>
      <c r="V34" s="3" t="s">
        <v>25</v>
      </c>
      <c r="W34" s="7" t="s">
        <v>37</v>
      </c>
      <c r="X34" s="3" t="s">
        <v>34</v>
      </c>
      <c r="Y34" s="3" t="s">
        <v>25</v>
      </c>
      <c r="Z34" s="3">
        <v>8.92</v>
      </c>
      <c r="AA34" s="3">
        <v>-64.349999999999994</v>
      </c>
    </row>
    <row r="35" spans="1:27" x14ac:dyDescent="0.3">
      <c r="A35" s="3">
        <v>34</v>
      </c>
      <c r="B35" s="3" t="s">
        <v>66</v>
      </c>
      <c r="C35" s="3" t="s">
        <v>65</v>
      </c>
      <c r="D35" s="3" t="s">
        <v>119</v>
      </c>
      <c r="E35" s="3" t="s">
        <v>119</v>
      </c>
      <c r="F35" s="4">
        <v>4.5087809999999999</v>
      </c>
      <c r="G35" s="4">
        <v>3.5234679999999998</v>
      </c>
      <c r="H35" s="5">
        <f t="shared" si="2"/>
        <v>5.1162754827586205</v>
      </c>
      <c r="I35" s="4">
        <v>0</v>
      </c>
      <c r="J35" s="4">
        <v>2.337405</v>
      </c>
      <c r="K35" s="4">
        <v>1.0316749999999999</v>
      </c>
      <c r="L35" s="6">
        <f t="shared" si="3"/>
        <v>781.4679843620703</v>
      </c>
      <c r="M35" s="3">
        <v>0</v>
      </c>
      <c r="N35" s="3">
        <v>0</v>
      </c>
      <c r="O35" s="3">
        <v>4</v>
      </c>
      <c r="P35" s="4">
        <v>16.899999999999999</v>
      </c>
      <c r="Q35" s="4">
        <v>0.80655555555555558</v>
      </c>
      <c r="R35" s="4">
        <v>782.125</v>
      </c>
      <c r="S35" s="4">
        <v>3627.7777777777778</v>
      </c>
      <c r="T35" s="3">
        <v>6.6677571413701314E-2</v>
      </c>
      <c r="U35" s="3" t="s">
        <v>142</v>
      </c>
      <c r="V35" s="3" t="s">
        <v>25</v>
      </c>
      <c r="W35" s="7" t="s">
        <v>37</v>
      </c>
      <c r="X35" s="3" t="s">
        <v>34</v>
      </c>
      <c r="Y35" s="3" t="s">
        <v>25</v>
      </c>
      <c r="Z35" s="3">
        <v>8.92</v>
      </c>
      <c r="AA35" s="3">
        <v>-64.349999999999994</v>
      </c>
    </row>
    <row r="36" spans="1:27" x14ac:dyDescent="0.3">
      <c r="A36" s="3">
        <v>35</v>
      </c>
      <c r="B36" s="3" t="s">
        <v>67</v>
      </c>
      <c r="C36" s="3" t="s">
        <v>98</v>
      </c>
      <c r="D36" s="3" t="s">
        <v>119</v>
      </c>
      <c r="E36" s="3" t="s">
        <v>119</v>
      </c>
      <c r="F36" s="4">
        <v>93.706649999999996</v>
      </c>
      <c r="G36" s="4">
        <v>390.358116</v>
      </c>
      <c r="H36" s="5">
        <f t="shared" si="2"/>
        <v>161.00977344827587</v>
      </c>
      <c r="I36" s="4">
        <v>13.625999999999999</v>
      </c>
      <c r="J36" s="4">
        <v>16.648827000000001</v>
      </c>
      <c r="K36" s="4">
        <v>25.486056000000001</v>
      </c>
      <c r="L36" s="6">
        <f t="shared" si="3"/>
        <v>4165.746145017456</v>
      </c>
      <c r="M36" s="3">
        <v>161</v>
      </c>
      <c r="N36" s="3">
        <v>120</v>
      </c>
      <c r="O36" s="3">
        <v>49</v>
      </c>
      <c r="P36" s="4">
        <v>20.269473684210524</v>
      </c>
      <c r="Q36" s="4">
        <v>0.72933571428571276</v>
      </c>
      <c r="R36" s="4">
        <v>396.63636363636363</v>
      </c>
      <c r="S36" s="4">
        <v>3226.0227272727275</v>
      </c>
      <c r="T36" s="3">
        <v>0.25700412101076575</v>
      </c>
      <c r="U36" s="3" t="s">
        <v>142</v>
      </c>
      <c r="V36" s="3" t="s">
        <v>23</v>
      </c>
      <c r="W36" s="7" t="s">
        <v>29</v>
      </c>
      <c r="X36" s="3" t="s">
        <v>34</v>
      </c>
      <c r="Y36" s="3" t="s">
        <v>25</v>
      </c>
      <c r="Z36" s="3">
        <v>8.8000000000000007</v>
      </c>
      <c r="AA36" s="3">
        <v>-64.45</v>
      </c>
    </row>
    <row r="37" spans="1:27" x14ac:dyDescent="0.3">
      <c r="A37" s="3">
        <v>36</v>
      </c>
      <c r="B37" s="3" t="s">
        <v>68</v>
      </c>
      <c r="C37" s="3" t="s">
        <v>98</v>
      </c>
      <c r="D37" s="3" t="s">
        <v>119</v>
      </c>
      <c r="E37" s="3" t="s">
        <v>119</v>
      </c>
      <c r="F37" s="4">
        <v>18.146832</v>
      </c>
      <c r="G37" s="4">
        <v>28.233636000000001</v>
      </c>
      <c r="H37" s="5">
        <f t="shared" si="2"/>
        <v>23.014700275862069</v>
      </c>
      <c r="I37" s="4">
        <v>0</v>
      </c>
      <c r="J37" s="4">
        <v>0.99661599999999995</v>
      </c>
      <c r="K37" s="4">
        <v>4.4097989999999996</v>
      </c>
      <c r="L37" s="6">
        <f t="shared" si="3"/>
        <v>1555.8437968676849</v>
      </c>
      <c r="M37" s="3">
        <v>0</v>
      </c>
      <c r="N37" s="3">
        <v>0</v>
      </c>
      <c r="O37" s="3">
        <v>6</v>
      </c>
      <c r="P37" s="4">
        <v>17.513333333333332</v>
      </c>
      <c r="Q37" s="4">
        <v>0.8135</v>
      </c>
      <c r="R37" s="4">
        <v>909.77777777777783</v>
      </c>
      <c r="S37" s="4">
        <v>3137.5</v>
      </c>
      <c r="T37" s="3">
        <v>7.5608949630772623E-2</v>
      </c>
      <c r="U37" s="3" t="s">
        <v>142</v>
      </c>
      <c r="V37" s="3" t="s">
        <v>25</v>
      </c>
      <c r="W37" s="7" t="s">
        <v>37</v>
      </c>
      <c r="X37" s="3" t="s">
        <v>34</v>
      </c>
      <c r="Y37" s="3" t="s">
        <v>25</v>
      </c>
      <c r="Z37" s="3">
        <v>8.6</v>
      </c>
      <c r="AA37" s="3">
        <v>-63.9</v>
      </c>
    </row>
    <row r="38" spans="1:27" x14ac:dyDescent="0.3">
      <c r="A38" s="3">
        <v>37</v>
      </c>
      <c r="B38" s="3" t="s">
        <v>69</v>
      </c>
      <c r="C38" s="3" t="s">
        <v>98</v>
      </c>
      <c r="D38" s="3" t="s">
        <v>119</v>
      </c>
      <c r="E38" s="3" t="s">
        <v>119</v>
      </c>
      <c r="F38" s="4">
        <v>7.4264520000000003</v>
      </c>
      <c r="G38" s="4">
        <v>43.350670999999998</v>
      </c>
      <c r="H38" s="5">
        <f t="shared" si="2"/>
        <v>14.900705620689656</v>
      </c>
      <c r="I38" s="4">
        <v>0</v>
      </c>
      <c r="J38" s="4">
        <v>0.61254799999999998</v>
      </c>
      <c r="K38" s="4">
        <v>1.2793289999999999</v>
      </c>
      <c r="L38" s="6">
        <f t="shared" si="3"/>
        <v>5837.3326859178505</v>
      </c>
      <c r="M38" s="3">
        <v>0</v>
      </c>
      <c r="N38" s="3">
        <v>0</v>
      </c>
      <c r="O38" s="3">
        <v>11</v>
      </c>
      <c r="P38" s="4">
        <v>25.422222222222221</v>
      </c>
      <c r="Q38" s="4">
        <v>0.82078947368421085</v>
      </c>
      <c r="R38" s="4">
        <v>517.60526315789468</v>
      </c>
      <c r="S38" s="4">
        <v>3423.1428571428573</v>
      </c>
      <c r="T38" s="3">
        <v>0.61039310716208939</v>
      </c>
      <c r="U38" s="3" t="s">
        <v>142</v>
      </c>
      <c r="V38" s="3" t="s">
        <v>25</v>
      </c>
      <c r="W38" s="7" t="s">
        <v>37</v>
      </c>
      <c r="X38" s="3" t="s">
        <v>34</v>
      </c>
      <c r="Y38" s="3" t="s">
        <v>25</v>
      </c>
      <c r="Z38" s="3">
        <v>8.6</v>
      </c>
      <c r="AA38" s="3">
        <v>-63.9</v>
      </c>
    </row>
    <row r="39" spans="1:27" x14ac:dyDescent="0.3">
      <c r="A39" s="3">
        <v>38</v>
      </c>
      <c r="B39" s="3" t="s">
        <v>70</v>
      </c>
      <c r="C39" s="3" t="s">
        <v>71</v>
      </c>
      <c r="D39" s="3" t="s">
        <v>119</v>
      </c>
      <c r="E39" s="3" t="s">
        <v>119</v>
      </c>
      <c r="F39" s="4">
        <v>134.543643</v>
      </c>
      <c r="G39" s="4">
        <v>462.92431499999998</v>
      </c>
      <c r="H39" s="5">
        <f t="shared" si="2"/>
        <v>214.35818006896551</v>
      </c>
      <c r="I39" s="4">
        <v>3.7290000000000001</v>
      </c>
      <c r="J39" s="4">
        <v>114.926962</v>
      </c>
      <c r="K39" s="4">
        <v>164.14199500000001</v>
      </c>
      <c r="L39" s="6">
        <f t="shared" si="3"/>
        <v>3440.700018803564</v>
      </c>
      <c r="M39" s="3">
        <v>0</v>
      </c>
      <c r="N39" s="3">
        <v>0</v>
      </c>
      <c r="O39" s="3">
        <v>84</v>
      </c>
      <c r="P39" s="4">
        <v>31.610303030303033</v>
      </c>
      <c r="Q39" s="4">
        <v>0.73158734177215168</v>
      </c>
      <c r="R39" s="4">
        <v>1468.9721518987342</v>
      </c>
      <c r="S39" s="4">
        <v>4188.0026315789473</v>
      </c>
      <c r="T39" s="3">
        <v>0.95719589906050406</v>
      </c>
      <c r="U39" s="3" t="s">
        <v>142</v>
      </c>
      <c r="V39" s="3" t="s">
        <v>25</v>
      </c>
      <c r="W39" s="7" t="s">
        <v>27</v>
      </c>
      <c r="X39" s="3" t="s">
        <v>34</v>
      </c>
      <c r="Y39" s="3" t="s">
        <v>25</v>
      </c>
      <c r="Z39" s="3">
        <v>8.7200000000000006</v>
      </c>
      <c r="AA39" s="3">
        <v>-64.05</v>
      </c>
    </row>
    <row r="40" spans="1:27" x14ac:dyDescent="0.3">
      <c r="A40" s="3">
        <v>39</v>
      </c>
      <c r="B40" s="3" t="s">
        <v>72</v>
      </c>
      <c r="C40" s="3" t="s">
        <v>71</v>
      </c>
      <c r="D40" s="3" t="s">
        <v>119</v>
      </c>
      <c r="E40" s="3" t="s">
        <v>119</v>
      </c>
      <c r="F40" s="4">
        <v>134.17689999999999</v>
      </c>
      <c r="G40" s="4">
        <v>480.554169</v>
      </c>
      <c r="H40" s="5">
        <f t="shared" si="2"/>
        <v>217.03106706896551</v>
      </c>
      <c r="I40" s="4">
        <v>117.246713</v>
      </c>
      <c r="J40" s="4">
        <v>89.044954000000004</v>
      </c>
      <c r="K40" s="4">
        <v>170.78472400000001</v>
      </c>
      <c r="L40" s="6">
        <f t="shared" si="3"/>
        <v>3581.4970311581205</v>
      </c>
      <c r="M40" s="3">
        <v>0</v>
      </c>
      <c r="N40" s="3">
        <v>0</v>
      </c>
      <c r="O40" s="3">
        <v>67</v>
      </c>
      <c r="P40" s="4">
        <v>21.503619909502266</v>
      </c>
      <c r="Q40" s="4">
        <v>0.85155214723926209</v>
      </c>
      <c r="R40" s="4">
        <v>284.7</v>
      </c>
      <c r="S40" s="4">
        <v>3127.5233644859813</v>
      </c>
      <c r="T40" s="3">
        <v>0.54314887274082357</v>
      </c>
      <c r="U40" s="3" t="s">
        <v>142</v>
      </c>
      <c r="V40" s="3" t="s">
        <v>25</v>
      </c>
      <c r="W40" s="7" t="s">
        <v>27</v>
      </c>
      <c r="X40" s="3" t="s">
        <v>34</v>
      </c>
      <c r="Y40" s="3" t="s">
        <v>25</v>
      </c>
      <c r="Z40" s="3">
        <v>8.7200000000000006</v>
      </c>
      <c r="AA40" s="3">
        <v>-64.05</v>
      </c>
    </row>
    <row r="41" spans="1:27" x14ac:dyDescent="0.3">
      <c r="A41" s="3">
        <v>40</v>
      </c>
      <c r="B41" s="3" t="s">
        <v>73</v>
      </c>
      <c r="C41" s="3" t="s">
        <v>71</v>
      </c>
      <c r="D41" s="3" t="s">
        <v>119</v>
      </c>
      <c r="E41" s="3" t="s">
        <v>119</v>
      </c>
      <c r="F41" s="4">
        <v>130.521513</v>
      </c>
      <c r="G41" s="4">
        <v>247.65859399999999</v>
      </c>
      <c r="H41" s="5">
        <f t="shared" si="2"/>
        <v>173.22127058620691</v>
      </c>
      <c r="I41" s="4">
        <v>1.742</v>
      </c>
      <c r="J41" s="4">
        <v>59.903137000000001</v>
      </c>
      <c r="K41" s="4">
        <v>50.146847999999999</v>
      </c>
      <c r="L41" s="6">
        <f t="shared" si="3"/>
        <v>1897.4542074148342</v>
      </c>
      <c r="M41" s="3">
        <v>0</v>
      </c>
      <c r="N41" s="3">
        <v>0</v>
      </c>
      <c r="O41" s="3">
        <v>47</v>
      </c>
      <c r="P41" s="4">
        <v>15.336363636363636</v>
      </c>
      <c r="Q41" s="4">
        <v>0.83955154639174978</v>
      </c>
      <c r="R41" s="4">
        <v>540.10270270270269</v>
      </c>
      <c r="S41" s="4">
        <v>2981.1979166666665</v>
      </c>
      <c r="T41" s="3">
        <v>3.6062057077188278E-2</v>
      </c>
      <c r="U41" s="3" t="s">
        <v>142</v>
      </c>
      <c r="V41" s="3" t="s">
        <v>25</v>
      </c>
      <c r="W41" s="7" t="s">
        <v>27</v>
      </c>
      <c r="X41" s="3" t="s">
        <v>34</v>
      </c>
      <c r="Y41" s="3" t="s">
        <v>25</v>
      </c>
      <c r="Z41" s="3">
        <v>8.7200000000000006</v>
      </c>
      <c r="AA41" s="3">
        <v>-64.05</v>
      </c>
    </row>
    <row r="42" spans="1:27" x14ac:dyDescent="0.3">
      <c r="A42" s="3">
        <v>41</v>
      </c>
      <c r="B42" s="3" t="s">
        <v>74</v>
      </c>
      <c r="C42" s="3" t="s">
        <v>71</v>
      </c>
      <c r="D42" s="3" t="s">
        <v>119</v>
      </c>
      <c r="E42" s="3" t="s">
        <v>119</v>
      </c>
      <c r="F42" s="4">
        <v>95.790740999999997</v>
      </c>
      <c r="G42" s="4">
        <v>235.653604</v>
      </c>
      <c r="H42" s="5">
        <f t="shared" si="2"/>
        <v>136.42067272413794</v>
      </c>
      <c r="I42" s="4">
        <v>35.170988000000001</v>
      </c>
      <c r="J42" s="4">
        <v>39.281365999999998</v>
      </c>
      <c r="K42" s="4">
        <v>77.722909999999999</v>
      </c>
      <c r="L42" s="6">
        <f t="shared" si="3"/>
        <v>2460.087494260014</v>
      </c>
      <c r="M42" s="3">
        <v>606</v>
      </c>
      <c r="N42" s="3">
        <v>623</v>
      </c>
      <c r="O42" s="3">
        <v>18</v>
      </c>
      <c r="P42" s="4">
        <v>29.003448275862066</v>
      </c>
      <c r="Q42" s="4">
        <v>0.85271666666666524</v>
      </c>
      <c r="R42" s="4">
        <v>582.80555555555554</v>
      </c>
      <c r="S42" s="4">
        <v>3588.25</v>
      </c>
      <c r="T42" s="3">
        <v>0.95424254966887412</v>
      </c>
      <c r="U42" s="3" t="s">
        <v>142</v>
      </c>
      <c r="V42" s="3" t="s">
        <v>23</v>
      </c>
      <c r="W42" s="7" t="s">
        <v>29</v>
      </c>
      <c r="X42" s="3" t="s">
        <v>23</v>
      </c>
      <c r="Y42" s="3" t="s">
        <v>25</v>
      </c>
      <c r="Z42" s="3">
        <v>8.7200000000000006</v>
      </c>
      <c r="AA42" s="3">
        <v>-64.05</v>
      </c>
    </row>
    <row r="43" spans="1:27" x14ac:dyDescent="0.3">
      <c r="A43" s="3">
        <v>42</v>
      </c>
      <c r="B43" s="3" t="s">
        <v>75</v>
      </c>
      <c r="C43" s="3" t="s">
        <v>71</v>
      </c>
      <c r="D43" s="3" t="s">
        <v>119</v>
      </c>
      <c r="E43" s="3" t="s">
        <v>119</v>
      </c>
      <c r="F43" s="4">
        <v>39.650289000000001</v>
      </c>
      <c r="G43" s="4">
        <v>159.054846</v>
      </c>
      <c r="H43" s="5">
        <f t="shared" si="2"/>
        <v>67.07353831034483</v>
      </c>
      <c r="I43" s="4">
        <v>0</v>
      </c>
      <c r="J43" s="4">
        <v>38.547581000000001</v>
      </c>
      <c r="K43" s="4">
        <v>53.366878</v>
      </c>
      <c r="L43" s="6">
        <f t="shared" si="3"/>
        <v>4011.4422873437311</v>
      </c>
      <c r="M43" s="3">
        <v>0</v>
      </c>
      <c r="N43" s="3">
        <v>0</v>
      </c>
      <c r="O43" s="3">
        <v>24</v>
      </c>
      <c r="P43" s="4">
        <v>32.510606060606058</v>
      </c>
      <c r="Q43" s="4">
        <v>0.86260919540229886</v>
      </c>
      <c r="R43" s="4">
        <v>378.47058823529414</v>
      </c>
      <c r="S43" s="4">
        <v>4579.3999999999996</v>
      </c>
      <c r="T43" s="3">
        <v>0.98973388825829234</v>
      </c>
      <c r="U43" s="3" t="s">
        <v>142</v>
      </c>
      <c r="V43" s="3" t="s">
        <v>25</v>
      </c>
      <c r="W43" s="7" t="s">
        <v>37</v>
      </c>
      <c r="X43" s="3" t="s">
        <v>34</v>
      </c>
      <c r="Y43" s="3" t="s">
        <v>25</v>
      </c>
      <c r="Z43" s="3">
        <v>8.68</v>
      </c>
      <c r="AA43" s="3">
        <v>-64.12</v>
      </c>
    </row>
    <row r="44" spans="1:27" x14ac:dyDescent="0.3">
      <c r="A44" s="3">
        <v>43</v>
      </c>
      <c r="B44" s="3" t="s">
        <v>76</v>
      </c>
      <c r="C44" s="3" t="s">
        <v>71</v>
      </c>
      <c r="D44" s="3" t="s">
        <v>119</v>
      </c>
      <c r="E44" s="3" t="s">
        <v>119</v>
      </c>
      <c r="F44" s="4">
        <v>7.090179</v>
      </c>
      <c r="G44" s="4">
        <v>26.042432999999999</v>
      </c>
      <c r="H44" s="5">
        <f t="shared" si="2"/>
        <v>11.580253655172413</v>
      </c>
      <c r="I44" s="4">
        <v>0</v>
      </c>
      <c r="J44" s="4">
        <v>2.7058710000000001</v>
      </c>
      <c r="K44" s="4">
        <v>6.6740349999999999</v>
      </c>
      <c r="L44" s="6">
        <f t="shared" si="3"/>
        <v>3673.0289884077674</v>
      </c>
      <c r="M44" s="3">
        <v>0</v>
      </c>
      <c r="N44" s="3">
        <v>0</v>
      </c>
      <c r="O44" s="3">
        <v>6</v>
      </c>
      <c r="P44" s="4">
        <v>36.537837837837841</v>
      </c>
      <c r="Q44" s="4">
        <v>0.81926190476190475</v>
      </c>
      <c r="R44" s="4">
        <v>485.88095238095241</v>
      </c>
      <c r="S44" s="4">
        <v>4996.6388888888887</v>
      </c>
      <c r="T44" s="4">
        <v>1</v>
      </c>
      <c r="U44" s="3" t="s">
        <v>142</v>
      </c>
      <c r="V44" s="3" t="s">
        <v>25</v>
      </c>
      <c r="W44" s="7" t="s">
        <v>37</v>
      </c>
      <c r="X44" s="3" t="s">
        <v>23</v>
      </c>
      <c r="Y44" s="3" t="s">
        <v>25</v>
      </c>
      <c r="Z44" s="3">
        <v>8.68</v>
      </c>
      <c r="AA44" s="3">
        <v>-64.12</v>
      </c>
    </row>
    <row r="45" spans="1:27" x14ac:dyDescent="0.3">
      <c r="A45" s="3">
        <v>44</v>
      </c>
      <c r="B45" s="3" t="s">
        <v>77</v>
      </c>
      <c r="C45" s="8" t="s">
        <v>109</v>
      </c>
      <c r="D45" s="3" t="s">
        <v>145</v>
      </c>
      <c r="E45" s="8" t="s">
        <v>114</v>
      </c>
      <c r="F45" s="4">
        <v>7600.7960000000003</v>
      </c>
      <c r="G45" s="4">
        <v>1186.1410000000001</v>
      </c>
      <c r="H45" s="5">
        <f t="shared" si="2"/>
        <v>7805.3030689655179</v>
      </c>
      <c r="I45" s="4">
        <v>0</v>
      </c>
      <c r="J45" s="3">
        <v>13757</v>
      </c>
      <c r="K45" s="3">
        <v>1556</v>
      </c>
      <c r="L45" s="6">
        <f t="shared" si="3"/>
        <v>156.05483951943981</v>
      </c>
      <c r="M45" s="8">
        <v>12437</v>
      </c>
      <c r="N45" s="8">
        <v>2605</v>
      </c>
      <c r="O45" s="8">
        <v>11</v>
      </c>
      <c r="P45" s="4">
        <v>9.370000000000001</v>
      </c>
      <c r="Q45" s="4">
        <v>0.79225842696629289</v>
      </c>
      <c r="R45" s="3">
        <v>6875.9</v>
      </c>
      <c r="S45" s="3">
        <v>1422.8</v>
      </c>
      <c r="T45" s="9">
        <v>0</v>
      </c>
      <c r="U45" s="8" t="s">
        <v>143</v>
      </c>
      <c r="V45" s="3" t="s">
        <v>23</v>
      </c>
      <c r="W45" s="7" t="s">
        <v>29</v>
      </c>
      <c r="X45" s="3" t="s">
        <v>25</v>
      </c>
      <c r="Y45" s="3" t="s">
        <v>34</v>
      </c>
      <c r="Z45" s="3">
        <v>8.4499999999999993</v>
      </c>
      <c r="AA45" s="3">
        <v>-63.55</v>
      </c>
    </row>
    <row r="46" spans="1:27" x14ac:dyDescent="0.3">
      <c r="A46" s="3">
        <v>45</v>
      </c>
      <c r="B46" s="3" t="s">
        <v>78</v>
      </c>
      <c r="C46" s="8" t="s">
        <v>110</v>
      </c>
      <c r="D46" s="3" t="s">
        <v>145</v>
      </c>
      <c r="E46" s="8" t="s">
        <v>115</v>
      </c>
      <c r="F46" s="4">
        <v>2959.6869999999999</v>
      </c>
      <c r="G46" s="4">
        <v>307.53199999999998</v>
      </c>
      <c r="H46" s="5">
        <f t="shared" si="2"/>
        <v>3012.7097586206896</v>
      </c>
      <c r="I46" s="4">
        <v>0</v>
      </c>
      <c r="J46" s="4">
        <v>0</v>
      </c>
      <c r="K46" s="4">
        <v>0</v>
      </c>
      <c r="L46" s="6">
        <f t="shared" si="3"/>
        <v>103.90693340207935</v>
      </c>
      <c r="M46" s="8">
        <v>25</v>
      </c>
      <c r="N46" s="8"/>
      <c r="O46" s="8">
        <v>3</v>
      </c>
      <c r="P46" s="4">
        <v>9.6454545454545464</v>
      </c>
      <c r="Q46" s="4">
        <v>0.81873076923076948</v>
      </c>
      <c r="R46" s="4">
        <v>4769.272727272727</v>
      </c>
      <c r="S46" s="4">
        <v>1827.2727272727273</v>
      </c>
      <c r="T46" s="9">
        <v>0</v>
      </c>
      <c r="U46" s="8" t="s">
        <v>143</v>
      </c>
      <c r="V46" s="3" t="s">
        <v>25</v>
      </c>
      <c r="W46" s="7" t="s">
        <v>24</v>
      </c>
      <c r="X46" s="3" t="s">
        <v>25</v>
      </c>
      <c r="Y46" s="3" t="s">
        <v>23</v>
      </c>
      <c r="Z46" s="3">
        <v>8.4499999999999993</v>
      </c>
      <c r="AA46" s="3">
        <v>-63.55</v>
      </c>
    </row>
    <row r="47" spans="1:27" x14ac:dyDescent="0.3">
      <c r="A47" s="3">
        <v>46</v>
      </c>
      <c r="B47" s="3" t="s">
        <v>79</v>
      </c>
      <c r="C47" s="8" t="s">
        <v>108</v>
      </c>
      <c r="D47" s="3" t="s">
        <v>145</v>
      </c>
      <c r="E47" s="8" t="s">
        <v>116</v>
      </c>
      <c r="F47" s="4">
        <v>2004.4248889999999</v>
      </c>
      <c r="G47" s="4">
        <v>1149.7489539999999</v>
      </c>
      <c r="H47" s="5">
        <f t="shared" si="2"/>
        <v>2202.657467275862</v>
      </c>
      <c r="I47" s="4">
        <v>0</v>
      </c>
      <c r="J47" s="4">
        <v>199.19425200000001</v>
      </c>
      <c r="K47" s="4">
        <v>51.371048999999999</v>
      </c>
      <c r="L47" s="6">
        <f t="shared" si="3"/>
        <v>573.60540687239484</v>
      </c>
      <c r="M47" s="3">
        <v>32757</v>
      </c>
      <c r="N47" s="3">
        <v>5302</v>
      </c>
      <c r="O47" s="3">
        <v>234</v>
      </c>
      <c r="P47" s="4">
        <v>10.417857142857143</v>
      </c>
      <c r="Q47" s="4">
        <v>0.60642857142857132</v>
      </c>
      <c r="R47" s="4">
        <v>2076.4285714285716</v>
      </c>
      <c r="S47" s="4">
        <v>3348.3333333333335</v>
      </c>
      <c r="T47" s="9">
        <v>0</v>
      </c>
      <c r="U47" s="8" t="s">
        <v>143</v>
      </c>
      <c r="V47" s="3" t="s">
        <v>23</v>
      </c>
      <c r="W47" s="7" t="s">
        <v>29</v>
      </c>
      <c r="X47" s="3" t="s">
        <v>25</v>
      </c>
      <c r="Y47" s="3" t="s">
        <v>34</v>
      </c>
      <c r="Z47" s="3">
        <v>8.4</v>
      </c>
      <c r="AA47" s="3">
        <v>-63.8</v>
      </c>
    </row>
    <row r="48" spans="1:27" x14ac:dyDescent="0.3">
      <c r="A48" s="3">
        <v>47</v>
      </c>
      <c r="B48" s="3" t="s">
        <v>80</v>
      </c>
      <c r="C48" s="8" t="s">
        <v>107</v>
      </c>
      <c r="D48" s="3" t="s">
        <v>145</v>
      </c>
      <c r="E48" s="8" t="s">
        <v>117</v>
      </c>
      <c r="F48" s="4">
        <v>1991.266991</v>
      </c>
      <c r="G48" s="4">
        <v>1085.4458279999999</v>
      </c>
      <c r="H48" s="5">
        <f t="shared" si="2"/>
        <v>2178.4128234137929</v>
      </c>
      <c r="I48" s="4">
        <v>0</v>
      </c>
      <c r="J48" s="4">
        <v>721.80765599999995</v>
      </c>
      <c r="K48" s="4">
        <v>225.21810500000001</v>
      </c>
      <c r="L48" s="6">
        <f t="shared" si="3"/>
        <v>545.10310917919492</v>
      </c>
      <c r="M48" s="3">
        <v>3064</v>
      </c>
      <c r="N48" s="3">
        <v>1154</v>
      </c>
      <c r="O48" s="3">
        <v>767</v>
      </c>
      <c r="P48" s="4">
        <v>10.290977443609025</v>
      </c>
      <c r="Q48" s="4">
        <v>0.74802637889688517</v>
      </c>
      <c r="R48" s="4">
        <v>1816.1726618705036</v>
      </c>
      <c r="S48" s="4">
        <v>2568.851318944844</v>
      </c>
      <c r="T48" s="9">
        <v>0</v>
      </c>
      <c r="U48" s="8" t="s">
        <v>143</v>
      </c>
      <c r="V48" s="3" t="s">
        <v>23</v>
      </c>
      <c r="W48" s="7" t="s">
        <v>29</v>
      </c>
      <c r="X48" s="3" t="s">
        <v>25</v>
      </c>
      <c r="Y48" s="3" t="s">
        <v>34</v>
      </c>
      <c r="Z48" s="3">
        <v>8.65</v>
      </c>
      <c r="AA48" s="3">
        <v>-63.6</v>
      </c>
    </row>
    <row r="49" spans="1:27" x14ac:dyDescent="0.3">
      <c r="A49" s="3">
        <v>48</v>
      </c>
      <c r="B49" s="3" t="s">
        <v>81</v>
      </c>
      <c r="C49" s="8" t="s">
        <v>106</v>
      </c>
      <c r="D49" s="3" t="s">
        <v>145</v>
      </c>
      <c r="E49" s="8" t="s">
        <v>118</v>
      </c>
      <c r="F49" s="4">
        <v>954.95082200000002</v>
      </c>
      <c r="G49" s="4">
        <v>542.68759499999999</v>
      </c>
      <c r="H49" s="5">
        <f t="shared" si="2"/>
        <v>1048.5176487241379</v>
      </c>
      <c r="I49" s="4">
        <v>0</v>
      </c>
      <c r="J49" s="4">
        <v>134.872682</v>
      </c>
      <c r="K49" s="4">
        <v>42.666761000000001</v>
      </c>
      <c r="L49" s="6">
        <f t="shared" si="3"/>
        <v>568.28852596139234</v>
      </c>
      <c r="M49" s="3">
        <v>0</v>
      </c>
      <c r="N49" s="3">
        <v>0</v>
      </c>
      <c r="O49" s="3">
        <v>195</v>
      </c>
      <c r="P49" s="4">
        <v>10.764944649446489</v>
      </c>
      <c r="Q49" s="4">
        <v>0.84202898550724259</v>
      </c>
      <c r="R49" s="4">
        <v>1333.7101449275362</v>
      </c>
      <c r="S49" s="4">
        <v>2527.5760869565215</v>
      </c>
      <c r="T49" s="9">
        <v>0</v>
      </c>
      <c r="U49" s="8" t="s">
        <v>143</v>
      </c>
      <c r="V49" s="3" t="s">
        <v>25</v>
      </c>
      <c r="W49" s="7" t="s">
        <v>24</v>
      </c>
      <c r="X49" s="3" t="s">
        <v>25</v>
      </c>
      <c r="Y49" s="3" t="s">
        <v>23</v>
      </c>
      <c r="Z49" s="3">
        <v>8.5500000000000007</v>
      </c>
      <c r="AA49" s="3">
        <v>-63.45</v>
      </c>
    </row>
    <row r="50" spans="1:27" x14ac:dyDescent="0.3">
      <c r="A50" s="3">
        <v>49</v>
      </c>
      <c r="B50" s="3" t="s">
        <v>82</v>
      </c>
      <c r="C50" s="8" t="s">
        <v>105</v>
      </c>
      <c r="D50" s="3" t="s">
        <v>145</v>
      </c>
      <c r="E50" s="8" t="s">
        <v>97</v>
      </c>
      <c r="F50" s="4">
        <v>281.14857999999998</v>
      </c>
      <c r="G50" s="4">
        <v>221.420175</v>
      </c>
      <c r="H50" s="5">
        <f t="shared" si="2"/>
        <v>319.32447224137928</v>
      </c>
      <c r="I50" s="4">
        <v>0</v>
      </c>
      <c r="J50" s="4">
        <v>99.600461999999993</v>
      </c>
      <c r="K50" s="4">
        <v>37.441468</v>
      </c>
      <c r="L50" s="6">
        <f t="shared" si="3"/>
        <v>787.55572942961339</v>
      </c>
      <c r="M50" s="3">
        <v>24827</v>
      </c>
      <c r="N50" s="3">
        <v>7941</v>
      </c>
      <c r="O50" s="3">
        <v>98</v>
      </c>
      <c r="P50" s="4">
        <v>9.9288461538461537</v>
      </c>
      <c r="Q50" s="4">
        <v>0.64771153846153873</v>
      </c>
      <c r="R50" s="4">
        <v>3504.2307692307691</v>
      </c>
      <c r="S50" s="4">
        <v>3027.0384615384614</v>
      </c>
      <c r="T50" s="9">
        <v>0</v>
      </c>
      <c r="U50" s="8" t="s">
        <v>143</v>
      </c>
      <c r="V50" s="3" t="s">
        <v>23</v>
      </c>
      <c r="W50" s="7" t="s">
        <v>29</v>
      </c>
      <c r="X50" s="3" t="s">
        <v>25</v>
      </c>
      <c r="Y50" s="3" t="s">
        <v>23</v>
      </c>
      <c r="Z50" s="3">
        <v>9.25</v>
      </c>
      <c r="AA50" s="3">
        <v>-64.599999999999994</v>
      </c>
    </row>
    <row r="51" spans="1:27" x14ac:dyDescent="0.3">
      <c r="A51" s="3">
        <v>50</v>
      </c>
      <c r="B51" s="3" t="s">
        <v>83</v>
      </c>
      <c r="C51" s="3" t="s">
        <v>83</v>
      </c>
      <c r="D51" s="3" t="s">
        <v>119</v>
      </c>
      <c r="E51" s="3" t="s">
        <v>119</v>
      </c>
      <c r="F51" s="4">
        <v>122.482952</v>
      </c>
      <c r="G51" s="4">
        <v>375.18848800000001</v>
      </c>
      <c r="H51" s="5">
        <f t="shared" si="2"/>
        <v>187.17062234482759</v>
      </c>
      <c r="I51" s="4">
        <v>0</v>
      </c>
      <c r="J51" s="4">
        <v>7.3048000000000002E-2</v>
      </c>
      <c r="K51" s="4">
        <v>0.122512</v>
      </c>
      <c r="L51" s="6">
        <f t="shared" si="3"/>
        <v>3063.1894632977169</v>
      </c>
      <c r="M51" s="3">
        <v>0</v>
      </c>
      <c r="N51" s="3">
        <v>0</v>
      </c>
      <c r="O51" s="3">
        <v>3</v>
      </c>
      <c r="P51" s="4">
        <v>34.903125000000003</v>
      </c>
      <c r="Q51" s="4">
        <v>0.8015625000000004</v>
      </c>
      <c r="R51" s="4">
        <v>99.28125</v>
      </c>
      <c r="S51" s="4">
        <v>13337.5625</v>
      </c>
      <c r="T51" s="3">
        <v>0.25678000000000001</v>
      </c>
      <c r="U51" s="8" t="s">
        <v>143</v>
      </c>
      <c r="V51" s="4" t="s">
        <v>25</v>
      </c>
      <c r="W51" s="15" t="s">
        <v>27</v>
      </c>
      <c r="X51" s="3" t="s">
        <v>23</v>
      </c>
      <c r="Y51" s="3" t="s">
        <v>25</v>
      </c>
      <c r="Z51" s="3">
        <v>9.5500000000000007</v>
      </c>
      <c r="AA51" s="3">
        <v>-63.65</v>
      </c>
    </row>
    <row r="52" spans="1:27" x14ac:dyDescent="0.3">
      <c r="A52" s="3">
        <v>51</v>
      </c>
      <c r="B52" s="3" t="s">
        <v>84</v>
      </c>
      <c r="C52" s="3" t="s">
        <v>84</v>
      </c>
      <c r="D52" s="3" t="s">
        <v>119</v>
      </c>
      <c r="E52" s="3" t="s">
        <v>119</v>
      </c>
      <c r="F52" s="4">
        <v>18.738911000000002</v>
      </c>
      <c r="G52" s="4">
        <v>188.107676</v>
      </c>
      <c r="H52" s="5">
        <f t="shared" si="2"/>
        <v>51.171268931034483</v>
      </c>
      <c r="I52" s="4">
        <v>3.7757770000000002</v>
      </c>
      <c r="J52" s="4">
        <v>25.736922</v>
      </c>
      <c r="K52" s="4">
        <v>79.011127999999999</v>
      </c>
      <c r="L52" s="6">
        <f t="shared" si="3"/>
        <v>10038.346198453048</v>
      </c>
      <c r="M52" s="3">
        <v>0</v>
      </c>
      <c r="N52" s="3">
        <v>0</v>
      </c>
      <c r="O52" s="3">
        <v>48</v>
      </c>
      <c r="P52" s="4">
        <v>42.341304347826089</v>
      </c>
      <c r="Q52" s="4">
        <v>0.81873076923076948</v>
      </c>
      <c r="R52" s="4">
        <v>218.32692307692307</v>
      </c>
      <c r="S52" s="4">
        <v>6762.5</v>
      </c>
      <c r="T52" s="3">
        <v>0.97408620000000001</v>
      </c>
      <c r="U52" s="3" t="s">
        <v>142</v>
      </c>
      <c r="V52" s="3" t="s">
        <v>25</v>
      </c>
      <c r="W52" s="7" t="s">
        <v>37</v>
      </c>
      <c r="X52" s="3" t="s">
        <v>34</v>
      </c>
      <c r="Y52" s="3" t="s">
        <v>25</v>
      </c>
      <c r="Z52" s="3">
        <v>9.25</v>
      </c>
      <c r="AA52" s="3">
        <v>-64.599999999999994</v>
      </c>
    </row>
    <row r="53" spans="1:27" x14ac:dyDescent="0.3">
      <c r="A53" s="3">
        <v>52</v>
      </c>
      <c r="B53" s="3" t="s">
        <v>85</v>
      </c>
      <c r="C53" s="3" t="s">
        <v>85</v>
      </c>
      <c r="D53" s="3" t="s">
        <v>119</v>
      </c>
      <c r="E53" s="3" t="s">
        <v>119</v>
      </c>
      <c r="F53" s="4">
        <v>77.898340000000005</v>
      </c>
      <c r="G53" s="4">
        <v>297.088572</v>
      </c>
      <c r="H53" s="5">
        <f t="shared" si="2"/>
        <v>129.12050758620691</v>
      </c>
      <c r="I53" s="4">
        <v>0</v>
      </c>
      <c r="J53" s="4">
        <v>16.666726000000001</v>
      </c>
      <c r="K53" s="4">
        <v>41.877071999999998</v>
      </c>
      <c r="L53" s="6">
        <f t="shared" si="3"/>
        <v>3813.7984968614219</v>
      </c>
      <c r="M53" s="3">
        <v>505</v>
      </c>
      <c r="N53" s="3">
        <v>1002</v>
      </c>
      <c r="O53" s="3">
        <v>3</v>
      </c>
      <c r="P53" s="4">
        <v>24.1</v>
      </c>
      <c r="Q53" s="4">
        <v>0.86927272727272742</v>
      </c>
      <c r="R53" s="4">
        <v>454.54545454545456</v>
      </c>
      <c r="S53" s="4">
        <v>15363.454545454546</v>
      </c>
      <c r="T53" s="4">
        <v>23</v>
      </c>
      <c r="U53" s="8" t="s">
        <v>143</v>
      </c>
      <c r="V53" s="3" t="s">
        <v>25</v>
      </c>
      <c r="W53" s="7" t="s">
        <v>29</v>
      </c>
      <c r="X53" s="3" t="s">
        <v>23</v>
      </c>
      <c r="Y53" s="3" t="s">
        <v>25</v>
      </c>
      <c r="Z53" s="3">
        <v>9.48</v>
      </c>
      <c r="AA53" s="3">
        <v>-63.55</v>
      </c>
    </row>
    <row r="54" spans="1:27" x14ac:dyDescent="0.3">
      <c r="A54" s="3">
        <v>53</v>
      </c>
      <c r="B54" s="3" t="s">
        <v>86</v>
      </c>
      <c r="C54" s="3" t="s">
        <v>86</v>
      </c>
      <c r="D54" s="3" t="s">
        <v>119</v>
      </c>
      <c r="E54" s="3" t="s">
        <v>119</v>
      </c>
      <c r="F54" s="4">
        <v>79.368600000000001</v>
      </c>
      <c r="G54" s="4">
        <v>180.12308400000001</v>
      </c>
      <c r="H54" s="5">
        <f t="shared" si="2"/>
        <v>110.42430413793105</v>
      </c>
      <c r="I54" s="4">
        <v>0</v>
      </c>
      <c r="J54" s="4">
        <v>38.537193000000002</v>
      </c>
      <c r="K54" s="4">
        <v>19.951757000000001</v>
      </c>
      <c r="L54" s="6">
        <f t="shared" si="3"/>
        <v>2269.4501855897674</v>
      </c>
      <c r="M54" s="3">
        <v>0</v>
      </c>
      <c r="N54" s="3">
        <v>0</v>
      </c>
      <c r="O54" s="3">
        <v>60</v>
      </c>
      <c r="P54" s="4">
        <v>11.414583333333331</v>
      </c>
      <c r="Q54" s="4">
        <v>0.72249484536082531</v>
      </c>
      <c r="R54" s="4">
        <v>1876.0618556701031</v>
      </c>
      <c r="S54" s="4">
        <v>4217.416666666667</v>
      </c>
      <c r="T54" s="3">
        <v>0.63452240000000004</v>
      </c>
      <c r="U54" s="3" t="s">
        <v>142</v>
      </c>
      <c r="V54" s="3" t="s">
        <v>25</v>
      </c>
      <c r="W54" s="7" t="s">
        <v>37</v>
      </c>
      <c r="X54" s="3" t="s">
        <v>34</v>
      </c>
      <c r="Y54" s="3" t="s">
        <v>25</v>
      </c>
      <c r="Z54" s="3">
        <v>9.35</v>
      </c>
      <c r="AA54" s="3">
        <v>-64.05</v>
      </c>
    </row>
    <row r="55" spans="1:27" x14ac:dyDescent="0.3">
      <c r="A55" s="3">
        <v>54</v>
      </c>
      <c r="B55" s="3" t="s">
        <v>87</v>
      </c>
      <c r="C55" s="3" t="s">
        <v>87</v>
      </c>
      <c r="D55" s="3" t="s">
        <v>119</v>
      </c>
      <c r="E55" s="3" t="s">
        <v>119</v>
      </c>
      <c r="F55" s="4">
        <v>32.717222999999997</v>
      </c>
      <c r="G55" s="4">
        <v>137.526231</v>
      </c>
      <c r="H55" s="5">
        <f t="shared" si="2"/>
        <v>56.428642137931035</v>
      </c>
      <c r="I55" s="4">
        <v>0</v>
      </c>
      <c r="J55" s="4">
        <v>0.97552099999999997</v>
      </c>
      <c r="K55" s="4">
        <v>4.5842349999999996</v>
      </c>
      <c r="L55" s="6">
        <f t="shared" si="3"/>
        <v>4203.4811756486797</v>
      </c>
      <c r="M55" s="3">
        <v>0</v>
      </c>
      <c r="N55" s="3">
        <v>0</v>
      </c>
      <c r="O55" s="3">
        <v>10</v>
      </c>
      <c r="P55" s="4">
        <v>43.448484848484846</v>
      </c>
      <c r="Q55" s="4">
        <v>0.82768571428571436</v>
      </c>
      <c r="R55" s="4">
        <v>250.453125</v>
      </c>
      <c r="S55" s="4">
        <v>6706.3823529411766</v>
      </c>
      <c r="T55" s="3">
        <v>0.84567892</v>
      </c>
      <c r="U55" s="3" t="s">
        <v>142</v>
      </c>
      <c r="V55" s="3" t="s">
        <v>25</v>
      </c>
      <c r="W55" s="7" t="s">
        <v>37</v>
      </c>
      <c r="X55" s="3" t="s">
        <v>34</v>
      </c>
      <c r="Y55" s="3" t="s">
        <v>25</v>
      </c>
      <c r="Z55" s="3">
        <v>9.35</v>
      </c>
      <c r="AA55" s="3">
        <v>-64.05</v>
      </c>
    </row>
    <row r="56" spans="1:27" x14ac:dyDescent="0.3">
      <c r="A56" s="3">
        <v>55</v>
      </c>
      <c r="B56" s="3" t="s">
        <v>88</v>
      </c>
      <c r="C56" s="3" t="s">
        <v>88</v>
      </c>
      <c r="D56" s="3" t="s">
        <v>119</v>
      </c>
      <c r="E56" s="3" t="s">
        <v>119</v>
      </c>
      <c r="F56" s="4">
        <v>58.022601999999999</v>
      </c>
      <c r="G56" s="4">
        <v>146.336027</v>
      </c>
      <c r="H56" s="5">
        <f t="shared" si="2"/>
        <v>83.252951482758618</v>
      </c>
      <c r="I56" s="4">
        <v>56.691001999999997</v>
      </c>
      <c r="J56" s="4">
        <v>116.204155</v>
      </c>
      <c r="K56" s="4">
        <v>216.426738</v>
      </c>
      <c r="L56" s="6">
        <f t="shared" si="3"/>
        <v>2522.0521306507421</v>
      </c>
      <c r="M56" s="3">
        <v>0</v>
      </c>
      <c r="N56" s="3">
        <v>0</v>
      </c>
      <c r="O56" s="3">
        <v>65</v>
      </c>
      <c r="P56" s="4">
        <v>22.962666666666664</v>
      </c>
      <c r="Q56" s="4">
        <v>0.79494666666666614</v>
      </c>
      <c r="R56" s="4">
        <v>237.90666666666667</v>
      </c>
      <c r="S56" s="4">
        <v>11535.946666666667</v>
      </c>
      <c r="T56" s="3">
        <v>0.68945199999999995</v>
      </c>
      <c r="U56" s="3" t="s">
        <v>142</v>
      </c>
      <c r="V56" s="3" t="s">
        <v>25</v>
      </c>
      <c r="W56" s="7" t="s">
        <v>37</v>
      </c>
      <c r="X56" s="3" t="s">
        <v>34</v>
      </c>
      <c r="Y56" s="3" t="s">
        <v>25</v>
      </c>
      <c r="Z56" s="3">
        <v>9.5500000000000007</v>
      </c>
      <c r="AA56" s="3">
        <v>-63.65</v>
      </c>
    </row>
    <row r="57" spans="1:27" x14ac:dyDescent="0.3">
      <c r="A57" s="3">
        <v>56</v>
      </c>
      <c r="B57" s="3" t="s">
        <v>89</v>
      </c>
      <c r="C57" s="3" t="s">
        <v>89</v>
      </c>
      <c r="D57" s="3" t="s">
        <v>119</v>
      </c>
      <c r="E57" s="3" t="s">
        <v>119</v>
      </c>
      <c r="F57" s="4">
        <v>38.775337</v>
      </c>
      <c r="G57" s="4">
        <v>89.199533000000002</v>
      </c>
      <c r="H57" s="5">
        <f t="shared" si="2"/>
        <v>54.154566827586208</v>
      </c>
      <c r="I57" s="4">
        <v>0</v>
      </c>
      <c r="J57" s="4">
        <v>40.990765000000003</v>
      </c>
      <c r="K57" s="4">
        <v>15.710756999999999</v>
      </c>
      <c r="L57" s="6">
        <f t="shared" si="3"/>
        <v>2300.4192845570883</v>
      </c>
      <c r="M57" s="3">
        <v>0</v>
      </c>
      <c r="N57" s="3">
        <v>0</v>
      </c>
      <c r="O57" s="3">
        <v>22</v>
      </c>
      <c r="P57" s="4">
        <v>14.383177570093455</v>
      </c>
      <c r="Q57" s="4">
        <v>0.6494310344827583</v>
      </c>
      <c r="R57" s="4">
        <v>497.44</v>
      </c>
      <c r="S57" s="4">
        <v>4013.0526315789475</v>
      </c>
      <c r="T57" s="3">
        <v>0.73452876</v>
      </c>
      <c r="U57" s="3" t="s">
        <v>142</v>
      </c>
      <c r="V57" s="3" t="s">
        <v>25</v>
      </c>
      <c r="W57" s="7" t="s">
        <v>37</v>
      </c>
      <c r="X57" s="3" t="s">
        <v>34</v>
      </c>
      <c r="Y57" s="3" t="s">
        <v>25</v>
      </c>
      <c r="Z57" s="3">
        <v>8.6199999999999992</v>
      </c>
      <c r="AA57" s="3">
        <v>-63.4</v>
      </c>
    </row>
    <row r="58" spans="1:27" x14ac:dyDescent="0.3">
      <c r="A58" s="3">
        <v>57</v>
      </c>
      <c r="B58" s="3" t="s">
        <v>90</v>
      </c>
      <c r="C58" s="3" t="s">
        <v>90</v>
      </c>
      <c r="D58" s="3" t="s">
        <v>119</v>
      </c>
      <c r="E58" s="3" t="s">
        <v>119</v>
      </c>
      <c r="F58" s="4">
        <v>26.126617</v>
      </c>
      <c r="G58" s="4">
        <v>189.94092599999999</v>
      </c>
      <c r="H58" s="5">
        <f t="shared" si="2"/>
        <v>58.875052517241372</v>
      </c>
      <c r="I58" s="4">
        <v>0</v>
      </c>
      <c r="J58" s="4">
        <v>25.616887999999999</v>
      </c>
      <c r="K58" s="4">
        <v>60.708810999999997</v>
      </c>
      <c r="L58" s="6">
        <f t="shared" si="3"/>
        <v>7270.016091252839</v>
      </c>
      <c r="M58" s="3">
        <v>0</v>
      </c>
      <c r="N58" s="3">
        <v>0</v>
      </c>
      <c r="O58" s="3">
        <v>24</v>
      </c>
      <c r="P58" s="4">
        <v>29.910416666666659</v>
      </c>
      <c r="Q58" s="4">
        <v>0.85016901408450507</v>
      </c>
      <c r="R58" s="4">
        <v>435.31884057971013</v>
      </c>
      <c r="S58" s="4">
        <v>5297.0070921985816</v>
      </c>
      <c r="T58" s="3">
        <v>0.84563991999999999</v>
      </c>
      <c r="U58" s="3" t="s">
        <v>142</v>
      </c>
      <c r="V58" s="3" t="s">
        <v>25</v>
      </c>
      <c r="W58" s="7" t="s">
        <v>37</v>
      </c>
      <c r="X58" s="3" t="s">
        <v>34</v>
      </c>
      <c r="Y58" s="3" t="s">
        <v>25</v>
      </c>
      <c r="Z58" s="3">
        <v>9.1999999999999993</v>
      </c>
      <c r="AA58" s="3">
        <v>-64.150000000000006</v>
      </c>
    </row>
    <row r="59" spans="1:27" x14ac:dyDescent="0.3">
      <c r="A59" s="3">
        <v>58</v>
      </c>
      <c r="B59" s="3" t="s">
        <v>91</v>
      </c>
      <c r="C59" s="3" t="s">
        <v>91</v>
      </c>
      <c r="D59" s="3" t="s">
        <v>119</v>
      </c>
      <c r="E59" s="3" t="s">
        <v>119</v>
      </c>
      <c r="F59" s="4">
        <v>25.643369</v>
      </c>
      <c r="G59" s="4">
        <v>66.182591000000002</v>
      </c>
      <c r="H59" s="5">
        <f t="shared" si="2"/>
        <v>37.054160551724138</v>
      </c>
      <c r="I59" s="4">
        <v>0</v>
      </c>
      <c r="J59" s="4">
        <v>43.990943999999999</v>
      </c>
      <c r="K59" s="4">
        <v>25.287319</v>
      </c>
      <c r="L59" s="6">
        <f t="shared" si="3"/>
        <v>2580.8851793225767</v>
      </c>
      <c r="M59" s="3">
        <v>0</v>
      </c>
      <c r="N59" s="3">
        <v>0</v>
      </c>
      <c r="O59" s="3">
        <v>34</v>
      </c>
      <c r="P59" s="4">
        <v>12.938095238095238</v>
      </c>
      <c r="Q59" s="4">
        <v>0.79225842696629289</v>
      </c>
      <c r="R59" s="4">
        <v>2544.2133333333331</v>
      </c>
      <c r="S59" s="4">
        <v>3617.9178082191779</v>
      </c>
      <c r="T59" s="3">
        <v>0.89456720000000001</v>
      </c>
      <c r="U59" s="3" t="s">
        <v>142</v>
      </c>
      <c r="V59" s="3" t="s">
        <v>25</v>
      </c>
      <c r="W59" s="7" t="s">
        <v>37</v>
      </c>
      <c r="X59" s="3" t="s">
        <v>34</v>
      </c>
      <c r="Y59" s="3" t="s">
        <v>25</v>
      </c>
      <c r="Z59" s="3">
        <v>8.6199999999999992</v>
      </c>
      <c r="AA59" s="3">
        <v>-63.4</v>
      </c>
    </row>
    <row r="60" spans="1:27" x14ac:dyDescent="0.3">
      <c r="A60" s="3">
        <v>59</v>
      </c>
      <c r="B60" s="3" t="s">
        <v>92</v>
      </c>
      <c r="C60" s="3" t="s">
        <v>92</v>
      </c>
      <c r="D60" s="3" t="s">
        <v>119</v>
      </c>
      <c r="E60" s="3" t="s">
        <v>119</v>
      </c>
      <c r="F60" s="4">
        <v>32.814413000000002</v>
      </c>
      <c r="G60" s="4">
        <v>61.671813999999998</v>
      </c>
      <c r="H60" s="5">
        <f t="shared" si="2"/>
        <v>43.447484379310346</v>
      </c>
      <c r="I60" s="4">
        <v>0</v>
      </c>
      <c r="J60" s="4">
        <v>1.3420479999999999</v>
      </c>
      <c r="K60" s="4">
        <v>3.8219699999999999</v>
      </c>
      <c r="L60" s="6">
        <f t="shared" si="3"/>
        <v>1879.4123789445814</v>
      </c>
      <c r="M60" s="3">
        <v>0</v>
      </c>
      <c r="N60" s="3">
        <v>0</v>
      </c>
      <c r="O60" s="3">
        <v>6</v>
      </c>
      <c r="P60" s="4">
        <v>30.693478260869561</v>
      </c>
      <c r="Q60" s="4">
        <v>0.84597916666666662</v>
      </c>
      <c r="R60" s="4">
        <v>362.85416666666669</v>
      </c>
      <c r="S60" s="4">
        <v>4723.8510638297876</v>
      </c>
      <c r="T60" s="3">
        <v>0.83446882341999995</v>
      </c>
      <c r="U60" s="3" t="s">
        <v>142</v>
      </c>
      <c r="V60" s="3" t="s">
        <v>25</v>
      </c>
      <c r="W60" s="7" t="s">
        <v>37</v>
      </c>
      <c r="X60" s="3" t="s">
        <v>34</v>
      </c>
      <c r="Y60" s="3" t="s">
        <v>25</v>
      </c>
      <c r="Z60" s="3">
        <v>9.52</v>
      </c>
      <c r="AA60" s="3">
        <v>-63.42</v>
      </c>
    </row>
    <row r="61" spans="1:27" x14ac:dyDescent="0.3">
      <c r="A61" s="3">
        <v>60</v>
      </c>
      <c r="B61" s="3" t="s">
        <v>93</v>
      </c>
      <c r="C61" s="3" t="s">
        <v>93</v>
      </c>
      <c r="D61" s="3" t="s">
        <v>119</v>
      </c>
      <c r="E61" s="3" t="s">
        <v>119</v>
      </c>
      <c r="F61" s="4">
        <v>54.162084999999998</v>
      </c>
      <c r="G61" s="4">
        <v>203.389207</v>
      </c>
      <c r="H61" s="5">
        <f t="shared" si="2"/>
        <v>89.229189655172405</v>
      </c>
      <c r="I61" s="4">
        <v>0</v>
      </c>
      <c r="J61" s="4">
        <v>20.549643</v>
      </c>
      <c r="K61" s="4">
        <v>30.108547000000002</v>
      </c>
      <c r="L61" s="6">
        <f t="shared" si="3"/>
        <v>3755.195299442405</v>
      </c>
      <c r="M61" s="3">
        <v>0</v>
      </c>
      <c r="N61" s="3">
        <v>0</v>
      </c>
      <c r="O61" s="3">
        <v>12</v>
      </c>
      <c r="P61" s="4">
        <v>32.868999999999993</v>
      </c>
      <c r="Q61" s="4">
        <v>0.83237499999999875</v>
      </c>
      <c r="R61" s="4">
        <v>203.89423076923077</v>
      </c>
      <c r="S61" s="4">
        <v>6454.9038461538457</v>
      </c>
      <c r="T61" s="3">
        <v>0.69372</v>
      </c>
      <c r="U61" s="3" t="s">
        <v>142</v>
      </c>
      <c r="V61" s="3" t="s">
        <v>25</v>
      </c>
      <c r="W61" s="7" t="s">
        <v>27</v>
      </c>
      <c r="X61" s="3" t="s">
        <v>34</v>
      </c>
      <c r="Y61" s="3" t="s">
        <v>25</v>
      </c>
      <c r="Z61" s="3">
        <v>9.3800000000000008</v>
      </c>
      <c r="AA61" s="3">
        <v>-63.92</v>
      </c>
    </row>
  </sheetData>
  <autoFilter ref="A1:AA61" xr:uid="{3BD8B3C9-D7FE-4553-A201-979C9C01EC8E}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F1BEE-BEF2-453F-BC10-044200140FBA}">
  <dimension ref="B2:K92"/>
  <sheetViews>
    <sheetView workbookViewId="0">
      <selection activeCell="I3" sqref="I3:K3"/>
    </sheetView>
  </sheetViews>
  <sheetFormatPr baseColWidth="10" defaultRowHeight="14.4" x14ac:dyDescent="0.3"/>
  <cols>
    <col min="3" max="3" width="30.21875" customWidth="1"/>
    <col min="6" max="6" width="21" bestFit="1" customWidth="1"/>
    <col min="9" max="9" width="13.77734375" customWidth="1"/>
    <col min="10" max="10" width="13.6640625" customWidth="1"/>
    <col min="11" max="11" width="13.77734375" customWidth="1"/>
  </cols>
  <sheetData>
    <row r="2" spans="2:11" ht="15" thickBot="1" x14ac:dyDescent="0.35"/>
    <row r="3" spans="2:11" ht="42" thickBot="1" x14ac:dyDescent="0.35">
      <c r="B3" s="13" t="s">
        <v>0</v>
      </c>
      <c r="C3" s="13" t="s">
        <v>121</v>
      </c>
      <c r="D3" s="13" t="s">
        <v>122</v>
      </c>
      <c r="E3" s="13" t="s">
        <v>123</v>
      </c>
      <c r="F3" s="13" t="s">
        <v>124</v>
      </c>
      <c r="I3" s="2" t="s">
        <v>3</v>
      </c>
      <c r="J3" s="2" t="s">
        <v>10</v>
      </c>
      <c r="K3" s="2" t="s">
        <v>12</v>
      </c>
    </row>
    <row r="4" spans="2:11" ht="15" thickBot="1" x14ac:dyDescent="0.35">
      <c r="B4" s="14">
        <v>1</v>
      </c>
      <c r="C4" s="13" t="s">
        <v>21</v>
      </c>
      <c r="D4" s="14">
        <v>9.0120000000000005</v>
      </c>
      <c r="E4" s="14">
        <v>-64.125</v>
      </c>
      <c r="F4" s="12" t="s">
        <v>125</v>
      </c>
    </row>
    <row r="5" spans="2:11" ht="15" thickBot="1" x14ac:dyDescent="0.35">
      <c r="B5" s="14"/>
      <c r="C5" s="13" t="s">
        <v>31</v>
      </c>
      <c r="D5" s="14">
        <v>9.0120000000000005</v>
      </c>
      <c r="E5" s="14">
        <v>-64.125</v>
      </c>
      <c r="F5" s="12" t="s">
        <v>125</v>
      </c>
    </row>
    <row r="6" spans="2:11" ht="15" thickBot="1" x14ac:dyDescent="0.35">
      <c r="B6" s="14">
        <v>2</v>
      </c>
      <c r="C6" s="13" t="s">
        <v>26</v>
      </c>
      <c r="D6" s="14">
        <v>8.85</v>
      </c>
      <c r="E6" s="14">
        <v>-64.75</v>
      </c>
      <c r="F6" s="12" t="s">
        <v>126</v>
      </c>
    </row>
    <row r="7" spans="2:11" ht="15" thickBot="1" x14ac:dyDescent="0.35">
      <c r="B7" s="14">
        <v>3</v>
      </c>
      <c r="C7" s="13" t="s">
        <v>28</v>
      </c>
      <c r="D7" s="14">
        <v>8.9499999999999993</v>
      </c>
      <c r="E7" s="14">
        <v>-64.2</v>
      </c>
      <c r="F7" s="12" t="s">
        <v>125</v>
      </c>
    </row>
    <row r="8" spans="2:11" ht="15" thickBot="1" x14ac:dyDescent="0.35">
      <c r="B8" s="14"/>
      <c r="C8" s="13" t="s">
        <v>30</v>
      </c>
      <c r="D8" s="14">
        <v>8.9499999999999993</v>
      </c>
      <c r="E8" s="14">
        <v>-64.2</v>
      </c>
      <c r="F8" s="12" t="s">
        <v>125</v>
      </c>
    </row>
    <row r="9" spans="2:11" ht="15" thickBot="1" x14ac:dyDescent="0.35">
      <c r="B9" s="14"/>
      <c r="C9" s="13" t="s">
        <v>32</v>
      </c>
      <c r="D9" s="14">
        <v>8.9499999999999993</v>
      </c>
      <c r="E9" s="14">
        <v>-64.2</v>
      </c>
      <c r="F9" s="12" t="s">
        <v>125</v>
      </c>
    </row>
    <row r="10" spans="2:11" ht="15" thickBot="1" x14ac:dyDescent="0.35">
      <c r="B10" s="14">
        <v>4</v>
      </c>
      <c r="C10" s="13" t="s">
        <v>35</v>
      </c>
      <c r="D10" s="14">
        <v>9.0500000000000007</v>
      </c>
      <c r="E10" s="14">
        <v>-64.25</v>
      </c>
      <c r="F10" s="12" t="s">
        <v>125</v>
      </c>
    </row>
    <row r="11" spans="2:11" ht="15" thickBot="1" x14ac:dyDescent="0.35">
      <c r="B11" s="14"/>
      <c r="C11" s="13" t="s">
        <v>36</v>
      </c>
      <c r="D11" s="14">
        <v>9.0500000000000007</v>
      </c>
      <c r="E11" s="14">
        <v>-64.25</v>
      </c>
      <c r="F11" s="12" t="s">
        <v>125</v>
      </c>
    </row>
    <row r="12" spans="2:11" ht="15" thickBot="1" x14ac:dyDescent="0.35">
      <c r="B12" s="14"/>
      <c r="C12" s="13" t="s">
        <v>139</v>
      </c>
      <c r="D12" s="14">
        <v>9.0500000000000007</v>
      </c>
      <c r="E12" s="14">
        <v>-64.25</v>
      </c>
      <c r="F12" s="12" t="s">
        <v>125</v>
      </c>
    </row>
    <row r="13" spans="2:11" ht="15" thickBot="1" x14ac:dyDescent="0.35">
      <c r="B13" s="14"/>
      <c r="C13" s="13" t="s">
        <v>140</v>
      </c>
      <c r="D13" s="14">
        <v>9.0500000000000007</v>
      </c>
      <c r="E13" s="14">
        <v>-64.25</v>
      </c>
      <c r="F13" s="12" t="s">
        <v>125</v>
      </c>
    </row>
    <row r="14" spans="2:11" ht="15" thickBot="1" x14ac:dyDescent="0.35">
      <c r="B14" s="14">
        <v>5</v>
      </c>
      <c r="C14" s="13" t="s">
        <v>39</v>
      </c>
      <c r="D14" s="14">
        <v>9.1199999999999992</v>
      </c>
      <c r="E14" s="14">
        <v>-64.180000000000007</v>
      </c>
      <c r="F14" s="13" t="s">
        <v>127</v>
      </c>
    </row>
    <row r="15" spans="2:11" ht="15" thickBot="1" x14ac:dyDescent="0.35">
      <c r="B15" s="14">
        <v>6</v>
      </c>
      <c r="C15" s="13" t="s">
        <v>41</v>
      </c>
      <c r="D15" s="14">
        <v>8.98</v>
      </c>
      <c r="E15" s="14">
        <v>-64.22</v>
      </c>
      <c r="F15" s="13" t="s">
        <v>127</v>
      </c>
    </row>
    <row r="16" spans="2:11" ht="15" thickBot="1" x14ac:dyDescent="0.35">
      <c r="B16" s="14">
        <v>7</v>
      </c>
      <c r="C16" s="13" t="s">
        <v>42</v>
      </c>
      <c r="D16" s="14">
        <v>8.65</v>
      </c>
      <c r="E16" s="14">
        <v>-63.6</v>
      </c>
      <c r="F16" s="12" t="s">
        <v>128</v>
      </c>
    </row>
    <row r="17" spans="2:6" ht="15" thickBot="1" x14ac:dyDescent="0.35">
      <c r="B17" s="14"/>
      <c r="C17" s="13" t="s">
        <v>80</v>
      </c>
      <c r="D17" s="14">
        <v>8.65</v>
      </c>
      <c r="E17" s="14">
        <v>-63.6</v>
      </c>
      <c r="F17" s="12" t="s">
        <v>128</v>
      </c>
    </row>
    <row r="18" spans="2:6" ht="15" thickBot="1" x14ac:dyDescent="0.35">
      <c r="B18" s="14">
        <v>8</v>
      </c>
      <c r="C18" s="13" t="s">
        <v>43</v>
      </c>
      <c r="D18" s="14">
        <v>8.8800000000000008</v>
      </c>
      <c r="E18" s="14">
        <v>-63.85</v>
      </c>
      <c r="F18" s="13" t="s">
        <v>127</v>
      </c>
    </row>
    <row r="19" spans="2:6" ht="15" thickBot="1" x14ac:dyDescent="0.35">
      <c r="B19" s="14">
        <v>9</v>
      </c>
      <c r="C19" s="13" t="s">
        <v>44</v>
      </c>
      <c r="D19" s="14">
        <v>9.15</v>
      </c>
      <c r="E19" s="14">
        <v>-64.099999999999994</v>
      </c>
      <c r="F19" s="13" t="s">
        <v>127</v>
      </c>
    </row>
    <row r="20" spans="2:6" ht="15" thickBot="1" x14ac:dyDescent="0.35">
      <c r="B20" s="14"/>
      <c r="C20" s="13" t="s">
        <v>45</v>
      </c>
      <c r="D20" s="14">
        <v>9.15</v>
      </c>
      <c r="E20" s="14">
        <v>-64.099999999999994</v>
      </c>
      <c r="F20" s="13" t="s">
        <v>127</v>
      </c>
    </row>
    <row r="21" spans="2:6" ht="15" thickBot="1" x14ac:dyDescent="0.35">
      <c r="B21" s="14">
        <v>10</v>
      </c>
      <c r="C21" s="13" t="s">
        <v>46</v>
      </c>
      <c r="D21" s="14">
        <v>8.9499999999999993</v>
      </c>
      <c r="E21" s="14">
        <v>-63.95</v>
      </c>
      <c r="F21" s="12" t="s">
        <v>125</v>
      </c>
    </row>
    <row r="22" spans="2:6" ht="15" thickBot="1" x14ac:dyDescent="0.35">
      <c r="B22" s="14"/>
      <c r="C22" s="13" t="s">
        <v>53</v>
      </c>
      <c r="D22" s="14">
        <v>8.9499999999999993</v>
      </c>
      <c r="E22" s="14">
        <v>-63.95</v>
      </c>
      <c r="F22" s="12" t="s">
        <v>125</v>
      </c>
    </row>
    <row r="23" spans="2:6" ht="15" thickBot="1" x14ac:dyDescent="0.35">
      <c r="B23" s="14"/>
      <c r="C23" s="13" t="s">
        <v>55</v>
      </c>
      <c r="D23" s="14">
        <v>8.9499999999999993</v>
      </c>
      <c r="E23" s="14">
        <v>-63.95</v>
      </c>
      <c r="F23" s="12" t="s">
        <v>125</v>
      </c>
    </row>
    <row r="24" spans="2:6" ht="15" thickBot="1" x14ac:dyDescent="0.35">
      <c r="B24" s="14">
        <v>11</v>
      </c>
      <c r="C24" s="13" t="s">
        <v>50</v>
      </c>
      <c r="D24" s="14">
        <v>9.1</v>
      </c>
      <c r="E24" s="14">
        <v>-64.3</v>
      </c>
      <c r="F24" s="13" t="s">
        <v>127</v>
      </c>
    </row>
    <row r="25" spans="2:6" ht="15" thickBot="1" x14ac:dyDescent="0.35">
      <c r="B25" s="14"/>
      <c r="C25" s="13" t="s">
        <v>52</v>
      </c>
      <c r="D25" s="14">
        <v>9.1</v>
      </c>
      <c r="E25" s="14">
        <v>-64.3</v>
      </c>
      <c r="F25" s="13" t="s">
        <v>127</v>
      </c>
    </row>
    <row r="26" spans="2:6" ht="15" thickBot="1" x14ac:dyDescent="0.35">
      <c r="B26" s="14"/>
      <c r="C26" s="13" t="s">
        <v>54</v>
      </c>
      <c r="D26" s="14">
        <v>9.1</v>
      </c>
      <c r="E26" s="14">
        <v>-64.3</v>
      </c>
      <c r="F26" s="13" t="s">
        <v>127</v>
      </c>
    </row>
    <row r="27" spans="2:6" ht="15" thickBot="1" x14ac:dyDescent="0.35">
      <c r="B27" s="14">
        <v>12</v>
      </c>
      <c r="C27" s="13" t="s">
        <v>51</v>
      </c>
      <c r="D27" s="14">
        <v>9.08</v>
      </c>
      <c r="E27" s="14">
        <v>-64.28</v>
      </c>
      <c r="F27" s="12" t="s">
        <v>129</v>
      </c>
    </row>
    <row r="28" spans="2:6" ht="15" thickBot="1" x14ac:dyDescent="0.35">
      <c r="B28" s="14"/>
      <c r="C28" s="13" t="s">
        <v>48</v>
      </c>
      <c r="D28" s="14">
        <v>9.08</v>
      </c>
      <c r="E28" s="14">
        <v>-64.28</v>
      </c>
      <c r="F28" s="12" t="s">
        <v>129</v>
      </c>
    </row>
    <row r="29" spans="2:6" ht="15" thickBot="1" x14ac:dyDescent="0.35">
      <c r="B29" s="14"/>
      <c r="C29" s="13" t="s">
        <v>49</v>
      </c>
      <c r="D29" s="14">
        <v>9.08</v>
      </c>
      <c r="E29" s="14">
        <v>-64.28</v>
      </c>
      <c r="F29" s="12" t="s">
        <v>129</v>
      </c>
    </row>
    <row r="30" spans="2:6" ht="15" thickBot="1" x14ac:dyDescent="0.35">
      <c r="B30" s="14">
        <v>13</v>
      </c>
      <c r="C30" s="13" t="s">
        <v>56</v>
      </c>
      <c r="D30" s="14">
        <v>8.75</v>
      </c>
      <c r="E30" s="14">
        <v>-64.150000000000006</v>
      </c>
      <c r="F30" s="13" t="s">
        <v>130</v>
      </c>
    </row>
    <row r="31" spans="2:6" ht="15" thickBot="1" x14ac:dyDescent="0.35">
      <c r="B31" s="14"/>
      <c r="C31" s="13" t="s">
        <v>62</v>
      </c>
      <c r="D31" s="14">
        <v>8.75</v>
      </c>
      <c r="E31" s="14">
        <v>-64.150000000000006</v>
      </c>
      <c r="F31" s="13" t="s">
        <v>130</v>
      </c>
    </row>
    <row r="32" spans="2:6" ht="15" thickBot="1" x14ac:dyDescent="0.35">
      <c r="B32" s="14"/>
      <c r="C32" s="13" t="s">
        <v>63</v>
      </c>
      <c r="D32" s="14">
        <v>8.75</v>
      </c>
      <c r="E32" s="14">
        <v>-64.150000000000006</v>
      </c>
      <c r="F32" s="13" t="s">
        <v>130</v>
      </c>
    </row>
    <row r="33" spans="2:6" ht="15" thickBot="1" x14ac:dyDescent="0.35">
      <c r="B33" s="14">
        <v>14</v>
      </c>
      <c r="C33" s="13" t="s">
        <v>58</v>
      </c>
      <c r="D33" s="14">
        <v>9.18</v>
      </c>
      <c r="E33" s="14">
        <v>-64.22</v>
      </c>
      <c r="F33" s="13" t="s">
        <v>127</v>
      </c>
    </row>
    <row r="34" spans="2:6" ht="15" thickBot="1" x14ac:dyDescent="0.35">
      <c r="B34" s="14"/>
      <c r="C34" s="13" t="s">
        <v>59</v>
      </c>
      <c r="D34" s="14">
        <v>9.18</v>
      </c>
      <c r="E34" s="14">
        <v>-64.22</v>
      </c>
      <c r="F34" s="13" t="s">
        <v>127</v>
      </c>
    </row>
    <row r="35" spans="2:6" ht="15" thickBot="1" x14ac:dyDescent="0.35">
      <c r="B35" s="14"/>
      <c r="C35" s="13" t="s">
        <v>60</v>
      </c>
      <c r="D35" s="14">
        <v>9.18</v>
      </c>
      <c r="E35" s="14">
        <v>-64.22</v>
      </c>
      <c r="F35" s="13" t="s">
        <v>127</v>
      </c>
    </row>
    <row r="36" spans="2:6" ht="15" thickBot="1" x14ac:dyDescent="0.35">
      <c r="B36" s="14"/>
      <c r="C36" s="13" t="s">
        <v>61</v>
      </c>
      <c r="D36" s="14">
        <v>9.18</v>
      </c>
      <c r="E36" s="14">
        <v>-64.22</v>
      </c>
      <c r="F36" s="13" t="s">
        <v>127</v>
      </c>
    </row>
    <row r="37" spans="2:6" ht="15" thickBot="1" x14ac:dyDescent="0.35">
      <c r="B37" s="14">
        <v>15</v>
      </c>
      <c r="C37" s="13" t="s">
        <v>64</v>
      </c>
      <c r="D37" s="14">
        <v>8.92</v>
      </c>
      <c r="E37" s="14">
        <v>-64.349999999999994</v>
      </c>
      <c r="F37" s="13" t="s">
        <v>127</v>
      </c>
    </row>
    <row r="38" spans="2:6" ht="15" thickBot="1" x14ac:dyDescent="0.35">
      <c r="B38" s="14"/>
      <c r="C38" s="13" t="s">
        <v>66</v>
      </c>
      <c r="D38" s="14">
        <v>8.92</v>
      </c>
      <c r="E38" s="14">
        <v>-64.349999999999994</v>
      </c>
      <c r="F38" s="13" t="s">
        <v>127</v>
      </c>
    </row>
    <row r="39" spans="2:6" ht="15" thickBot="1" x14ac:dyDescent="0.35">
      <c r="B39" s="14">
        <v>16</v>
      </c>
      <c r="C39" s="13" t="s">
        <v>67</v>
      </c>
      <c r="D39" s="14">
        <v>8.8000000000000007</v>
      </c>
      <c r="E39" s="14">
        <v>-64.45</v>
      </c>
      <c r="F39" s="13" t="s">
        <v>127</v>
      </c>
    </row>
    <row r="40" spans="2:6" ht="15" thickBot="1" x14ac:dyDescent="0.35">
      <c r="B40" s="14">
        <v>17</v>
      </c>
      <c r="C40" s="13" t="s">
        <v>68</v>
      </c>
      <c r="D40" s="14">
        <v>8.6</v>
      </c>
      <c r="E40" s="14">
        <v>-63.9</v>
      </c>
      <c r="F40" s="13" t="s">
        <v>131</v>
      </c>
    </row>
    <row r="41" spans="2:6" ht="15" thickBot="1" x14ac:dyDescent="0.35">
      <c r="B41" s="14"/>
      <c r="C41" s="13" t="s">
        <v>69</v>
      </c>
      <c r="D41" s="14">
        <v>8.6</v>
      </c>
      <c r="E41" s="14">
        <v>-63.9</v>
      </c>
      <c r="F41" s="13" t="s">
        <v>131</v>
      </c>
    </row>
    <row r="42" spans="2:6" ht="15" thickBot="1" x14ac:dyDescent="0.35">
      <c r="B42" s="14">
        <v>18</v>
      </c>
      <c r="C42" s="13" t="s">
        <v>70</v>
      </c>
      <c r="D42" s="14">
        <v>8.7200000000000006</v>
      </c>
      <c r="E42" s="14">
        <v>-64.05</v>
      </c>
      <c r="F42" s="13" t="s">
        <v>127</v>
      </c>
    </row>
    <row r="43" spans="2:6" ht="15" thickBot="1" x14ac:dyDescent="0.35">
      <c r="B43" s="14"/>
      <c r="C43" s="13" t="s">
        <v>72</v>
      </c>
      <c r="D43" s="14">
        <v>8.7200000000000006</v>
      </c>
      <c r="E43" s="14">
        <v>-64.05</v>
      </c>
      <c r="F43" s="13" t="s">
        <v>127</v>
      </c>
    </row>
    <row r="44" spans="2:6" ht="15" thickBot="1" x14ac:dyDescent="0.35">
      <c r="B44" s="14"/>
      <c r="C44" s="13" t="s">
        <v>73</v>
      </c>
      <c r="D44" s="14">
        <v>8.7200000000000006</v>
      </c>
      <c r="E44" s="14">
        <v>-64.05</v>
      </c>
      <c r="F44" s="13" t="s">
        <v>127</v>
      </c>
    </row>
    <row r="45" spans="2:6" ht="15" thickBot="1" x14ac:dyDescent="0.35">
      <c r="B45" s="14"/>
      <c r="C45" s="13" t="s">
        <v>74</v>
      </c>
      <c r="D45" s="14">
        <v>8.7200000000000006</v>
      </c>
      <c r="E45" s="14">
        <v>-64.05</v>
      </c>
      <c r="F45" s="13" t="s">
        <v>127</v>
      </c>
    </row>
    <row r="46" spans="2:6" ht="15" thickBot="1" x14ac:dyDescent="0.35">
      <c r="B46" s="14">
        <v>19</v>
      </c>
      <c r="C46" s="13" t="s">
        <v>75</v>
      </c>
      <c r="D46" s="14">
        <v>8.68</v>
      </c>
      <c r="E46" s="14">
        <v>-64.12</v>
      </c>
      <c r="F46" s="13" t="s">
        <v>130</v>
      </c>
    </row>
    <row r="47" spans="2:6" ht="15" thickBot="1" x14ac:dyDescent="0.35">
      <c r="B47" s="14"/>
      <c r="C47" s="13" t="s">
        <v>76</v>
      </c>
      <c r="D47" s="14">
        <v>8.68</v>
      </c>
      <c r="E47" s="14">
        <v>-64.12</v>
      </c>
      <c r="F47" s="13" t="s">
        <v>130</v>
      </c>
    </row>
    <row r="48" spans="2:6" ht="15" thickBot="1" x14ac:dyDescent="0.35">
      <c r="B48" s="14">
        <v>20</v>
      </c>
      <c r="C48" s="13" t="s">
        <v>77</v>
      </c>
      <c r="D48" s="14">
        <v>8.4499999999999993</v>
      </c>
      <c r="E48" s="14">
        <v>-63.55</v>
      </c>
      <c r="F48" s="13" t="s">
        <v>132</v>
      </c>
    </row>
    <row r="49" spans="2:6" ht="15" thickBot="1" x14ac:dyDescent="0.35">
      <c r="B49" s="14"/>
      <c r="C49" s="13" t="s">
        <v>78</v>
      </c>
      <c r="D49" s="14">
        <v>8.4499999999999993</v>
      </c>
      <c r="E49" s="14">
        <v>-63.55</v>
      </c>
      <c r="F49" s="13" t="s">
        <v>132</v>
      </c>
    </row>
    <row r="50" spans="2:6" ht="15" thickBot="1" x14ac:dyDescent="0.35">
      <c r="B50" s="14">
        <v>21</v>
      </c>
      <c r="C50" s="13" t="s">
        <v>79</v>
      </c>
      <c r="D50" s="14">
        <v>8.4</v>
      </c>
      <c r="E50" s="14">
        <v>-63.8</v>
      </c>
      <c r="F50" s="12" t="s">
        <v>133</v>
      </c>
    </row>
    <row r="51" spans="2:6" ht="15" thickBot="1" x14ac:dyDescent="0.35">
      <c r="B51" s="14">
        <v>22</v>
      </c>
      <c r="C51" s="13" t="s">
        <v>81</v>
      </c>
      <c r="D51" s="14">
        <v>8.5500000000000007</v>
      </c>
      <c r="E51" s="14">
        <v>-63.45</v>
      </c>
      <c r="F51" s="12" t="s">
        <v>128</v>
      </c>
    </row>
    <row r="52" spans="2:6" ht="15" thickBot="1" x14ac:dyDescent="0.35">
      <c r="B52" s="14">
        <v>23</v>
      </c>
      <c r="C52" s="13" t="s">
        <v>82</v>
      </c>
      <c r="D52" s="14">
        <v>9.25</v>
      </c>
      <c r="E52" s="14">
        <v>-64.599999999999994</v>
      </c>
      <c r="F52" s="12" t="s">
        <v>134</v>
      </c>
    </row>
    <row r="53" spans="2:6" ht="15" thickBot="1" x14ac:dyDescent="0.35">
      <c r="B53" s="14"/>
      <c r="C53" s="13" t="s">
        <v>84</v>
      </c>
      <c r="D53" s="14">
        <v>9.25</v>
      </c>
      <c r="E53" s="14">
        <v>-64.599999999999994</v>
      </c>
      <c r="F53" s="12" t="s">
        <v>134</v>
      </c>
    </row>
    <row r="54" spans="2:6" ht="15" thickBot="1" x14ac:dyDescent="0.35">
      <c r="B54" s="14">
        <v>24</v>
      </c>
      <c r="C54" s="13" t="s">
        <v>83</v>
      </c>
      <c r="D54" s="14">
        <v>9.5500000000000007</v>
      </c>
      <c r="E54" s="14">
        <v>-63.65</v>
      </c>
      <c r="F54" s="12" t="s">
        <v>135</v>
      </c>
    </row>
    <row r="55" spans="2:6" ht="15" thickBot="1" x14ac:dyDescent="0.35">
      <c r="B55" s="14"/>
      <c r="C55" s="13" t="s">
        <v>88</v>
      </c>
      <c r="D55" s="14">
        <v>9.5500000000000007</v>
      </c>
      <c r="E55" s="14">
        <v>-63.65</v>
      </c>
      <c r="F55" s="12" t="s">
        <v>135</v>
      </c>
    </row>
    <row r="56" spans="2:6" ht="15" thickBot="1" x14ac:dyDescent="0.35">
      <c r="B56" s="14">
        <v>25</v>
      </c>
      <c r="C56" s="13" t="s">
        <v>85</v>
      </c>
      <c r="D56" s="14">
        <v>9.48</v>
      </c>
      <c r="E56" s="14">
        <v>-63.55</v>
      </c>
      <c r="F56" s="13" t="s">
        <v>136</v>
      </c>
    </row>
    <row r="57" spans="2:6" ht="15" thickBot="1" x14ac:dyDescent="0.35">
      <c r="B57" s="14">
        <v>26</v>
      </c>
      <c r="C57" s="13" t="s">
        <v>86</v>
      </c>
      <c r="D57" s="14">
        <v>9.35</v>
      </c>
      <c r="E57" s="14">
        <v>-64.05</v>
      </c>
      <c r="F57" s="13" t="s">
        <v>137</v>
      </c>
    </row>
    <row r="58" spans="2:6" ht="15" thickBot="1" x14ac:dyDescent="0.35">
      <c r="B58" s="14"/>
      <c r="C58" s="13" t="s">
        <v>87</v>
      </c>
      <c r="D58" s="14">
        <v>9.35</v>
      </c>
      <c r="E58" s="14">
        <v>-64.05</v>
      </c>
      <c r="F58" s="13" t="s">
        <v>137</v>
      </c>
    </row>
    <row r="59" spans="2:6" ht="15" thickBot="1" x14ac:dyDescent="0.35">
      <c r="B59" s="14">
        <v>27</v>
      </c>
      <c r="C59" s="13" t="s">
        <v>89</v>
      </c>
      <c r="D59" s="14">
        <v>8.6199999999999992</v>
      </c>
      <c r="E59" s="14">
        <v>-63.4</v>
      </c>
      <c r="F59" s="12" t="s">
        <v>138</v>
      </c>
    </row>
    <row r="60" spans="2:6" ht="15" thickBot="1" x14ac:dyDescent="0.35">
      <c r="B60" s="14"/>
      <c r="C60" s="13" t="s">
        <v>91</v>
      </c>
      <c r="D60" s="14">
        <v>8.6199999999999992</v>
      </c>
      <c r="E60" s="14">
        <v>-63.4</v>
      </c>
      <c r="F60" s="12" t="s">
        <v>138</v>
      </c>
    </row>
    <row r="61" spans="2:6" ht="15" thickBot="1" x14ac:dyDescent="0.35">
      <c r="B61" s="14">
        <v>28</v>
      </c>
      <c r="C61" s="13" t="s">
        <v>90</v>
      </c>
      <c r="D61" s="14">
        <v>9.1999999999999993</v>
      </c>
      <c r="E61" s="14">
        <v>-64.150000000000006</v>
      </c>
      <c r="F61" s="13" t="s">
        <v>127</v>
      </c>
    </row>
    <row r="62" spans="2:6" ht="15" thickBot="1" x14ac:dyDescent="0.35">
      <c r="B62" s="14">
        <v>29</v>
      </c>
      <c r="C62" s="13" t="s">
        <v>92</v>
      </c>
      <c r="D62" s="14">
        <v>9.52</v>
      </c>
      <c r="E62" s="14">
        <v>-63.42</v>
      </c>
      <c r="F62" s="13" t="s">
        <v>136</v>
      </c>
    </row>
    <row r="63" spans="2:6" ht="15" thickBot="1" x14ac:dyDescent="0.35">
      <c r="B63" s="14">
        <v>30</v>
      </c>
      <c r="C63" s="13" t="s">
        <v>93</v>
      </c>
      <c r="D63" s="14">
        <v>9.3800000000000008</v>
      </c>
      <c r="E63" s="14">
        <v>-63.92</v>
      </c>
      <c r="F63" s="13" t="s">
        <v>137</v>
      </c>
    </row>
    <row r="64" spans="2:6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BD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Fariñas</dc:creator>
  <cp:lastModifiedBy>Miguel Aguero</cp:lastModifiedBy>
  <dcterms:created xsi:type="dcterms:W3CDTF">2026-03-19T14:59:13Z</dcterms:created>
  <dcterms:modified xsi:type="dcterms:W3CDTF">2026-03-22T14:36:19Z</dcterms:modified>
</cp:coreProperties>
</file>